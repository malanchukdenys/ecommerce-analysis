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71AC084-31A1-4934-83B1-D6AD4C7A46FF}" xr6:coauthVersionLast="47" xr6:coauthVersionMax="47" xr10:uidLastSave="{00000000-0000-0000-0000-000000000000}"/>
  <bookViews>
    <workbookView xWindow="-120" yWindow="-120" windowWidth="29040" windowHeight="15840" tabRatio="942" activeTab="7" xr2:uid="{F03A28CB-8DE2-4E55-B1D9-71A601EE27B6}"/>
  </bookViews>
  <sheets>
    <sheet name="Retention Rate" sheetId="4" r:id="rId1"/>
    <sheet name="Revenue by Acquisition Cohort" sheetId="12" r:id="rId2"/>
    <sheet name="Monthly Revenue Trend" sheetId="9" r:id="rId3"/>
    <sheet name="rvn per cus by coh" sheetId="16" r:id="rId4"/>
    <sheet name="LTV at Month 3 by Acquisition C" sheetId="18" r:id="rId5"/>
    <sheet name="Avg Retention by Month" sheetId="19" r:id="rId6"/>
    <sheet name="Revenue Contribution" sheetId="20" r:id="rId7"/>
    <sheet name="Order Frequency Distribution" sheetId="22" r:id="rId8"/>
    <sheet name="Revenue by RFM Segment" sheetId="23" r:id="rId9"/>
    <sheet name="Retention Curve" sheetId="26" r:id="rId10"/>
    <sheet name="mont actv cutm trend" sheetId="27" r:id="rId11"/>
    <sheet name="Rvn per act ctmr" sheetId="28" r:id="rId12"/>
    <sheet name="Cohort Size Over Time" sheetId="29" r:id="rId13"/>
    <sheet name="Cohort LTV per Customer" sheetId="7" r:id="rId14"/>
    <sheet name="LTV" sheetId="6" r:id="rId15"/>
    <sheet name="retention_rate" sheetId="2" r:id="rId16"/>
  </sheets>
  <definedNames>
    <definedName name="ExternalData_1" localSheetId="5" hidden="1">'Avg Retention by Month'!$A$1:$B$4</definedName>
    <definedName name="ExternalData_1" localSheetId="12" hidden="1">'Cohort Size Over Time'!$A$1:$B$14</definedName>
    <definedName name="ExternalData_1" localSheetId="14" hidden="1">LTV!$A$1:$C$92</definedName>
    <definedName name="ExternalData_1" localSheetId="4" hidden="1">'LTV at Month 3 by Acquisition C'!$A$1:$B$11</definedName>
    <definedName name="ExternalData_1" localSheetId="10" hidden="1">'mont actv cutm trend'!$A$1:$B$14</definedName>
    <definedName name="ExternalData_1" localSheetId="2" hidden="1">'Monthly Revenue Trend'!$A$1:$B$13</definedName>
    <definedName name="ExternalData_1" localSheetId="7" hidden="1">'Order Frequency Distribution'!$A$1:$B$6</definedName>
    <definedName name="ExternalData_1" localSheetId="9" hidden="1">'Retention Curve'!$A$1:$B$7</definedName>
    <definedName name="ExternalData_1" localSheetId="15" hidden="1">retention_rate!$A$1:$D$92</definedName>
    <definedName name="ExternalData_1" localSheetId="1" hidden="1">'Revenue by Acquisition Cohort'!$A$1:$B$13</definedName>
    <definedName name="ExternalData_1" localSheetId="8" hidden="1">'Revenue by RFM Segment'!$A$1:$C$6</definedName>
    <definedName name="ExternalData_1" localSheetId="6" hidden="1">'Revenue Contribution'!$A$1:$B$4</definedName>
    <definedName name="ExternalData_1" localSheetId="11" hidden="1">'Rvn per act ctmr'!$A$1:$D$14</definedName>
    <definedName name="ExternalData_1" localSheetId="3" hidden="1">'rvn per cus by coh'!$A$1:$B$14</definedName>
  </definedNames>
  <calcPr calcId="191029"/>
  <pivotCaches>
    <pivotCache cacheId="0" r:id="rId17"/>
    <pivotCache cacheId="1" r:id="rId1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31D06-DE78-40B0-9380-43A385B97D27}" keepAlive="1" name="Query - _SELECT_DATE_TRUNC_month_invoice_date_AS_month_COUNT_DISTINCT_cu_202602240956" description="Connection to the '_SELECT_DATE_TRUNC_month_invoice_date_AS_month_COUNT_DISTINCT_cu_202602240956' query in the workbook." type="5" refreshedVersion="8" background="1" saveData="1">
    <dbPr connection="Provider=Microsoft.Mashup.OleDb.1;Data Source=$Workbook$;Location=_SELECT_DATE_TRUNC_month_invoice_date_AS_month_COUNT_DISTINCT_cu_202602240956;Extended Properties=&quot;&quot;" command="SELECT * FROM [_SELECT_DATE_TRUNC_month_invoice_date_AS_month_COUNT_DISTINCT_cu_202602240956]"/>
  </connection>
  <connection id="2" xr16:uid="{AF96EED5-45FC-4300-B039-AB3FD63D9DB2}" keepAlive="1" name="Query - _SELECT_DATE_TRUNC_month_invoice_date_AS_month_SUM_quantity_unit_202602231448" description="Connection to the '_SELECT_DATE_TRUNC_month_invoice_date_AS_month_SUM_quantity_unit_202602231448' query in the workbook." type="5" refreshedVersion="8" background="1" saveData="1">
    <dbPr connection="Provider=Microsoft.Mashup.OleDb.1;Data Source=$Workbook$;Location=_SELECT_DATE_TRUNC_month_invoice_date_AS_month_SUM_quantity_unit_202602231448;Extended Properties=&quot;&quot;" command="SELECT * FROM [_SELECT_DATE_TRUNC_month_invoice_date_AS_month_SUM_quantity_unit_202602231448]"/>
  </connection>
  <connection id="3" xr16:uid="{3DA908B0-5F59-4C90-B8A4-41D21C0FE413}" keepAlive="1" name="Query - _SELECT_DATE_TRUNC_month_invoice_date_AS_month_SUM_quantity_unit_202602240959" description="Connection to the '_SELECT_DATE_TRUNC_month_invoice_date_AS_month_SUM_quantity_unit_202602240959' query in the workbook." type="5" refreshedVersion="8" background="1" saveData="1">
    <dbPr connection="Provider=Microsoft.Mashup.OleDb.1;Data Source=$Workbook$;Location=_SELECT_DATE_TRUNC_month_invoice_date_AS_month_SUM_quantity_unit_202602240959;Extended Properties=&quot;&quot;" command="SELECT * FROM [_SELECT_DATE_TRUNC_month_invoice_date_AS_month_SUM_quantity_unit_202602240959]"/>
  </connection>
  <connection id="4" xr16:uid="{170B41C3-EB9D-479D-A688-2D8DE95C325C}" keepAlive="1" name="Query - _WITH_base_AS_SELECT_customer_id_MAX_invoice_date_AS_last_purcha_202602231958" description="Connection to the '_WITH_base_AS_SELECT_customer_id_MAX_invoice_date_AS_last_purcha_202602231958' query in the workbook." type="5" refreshedVersion="8" background="1" saveData="1">
    <dbPr connection="Provider=Microsoft.Mashup.OleDb.1;Data Source=$Workbook$;Location=_WITH_base_AS_SELECT_customer_id_MAX_invoice_date_AS_last_purcha_202602231958;Extended Properties=&quot;&quot;" command="SELECT * FROM [_WITH_base_AS_SELECT_customer_id_MAX_invoice_date_AS_last_purcha_202602231958]"/>
  </connection>
  <connection id="5" xr16:uid="{8BBDA0BA-3BB2-477F-AD45-8F5FB8230220}" keepAlive="1" name="Query - _WITH_customer_orders_AS_SELECT_customer_id_COUNT_DISTINCT_invoi_202602231802" description="Connection to the '_WITH_customer_orders_AS_SELECT_customer_id_COUNT_DISTINCT_invoi_202602231802' query in the workbook." type="5" refreshedVersion="8" background="1" saveData="1">
    <dbPr connection="Provider=Microsoft.Mashup.OleDb.1;Data Source=$Workbook$;Location=_WITH_customer_orders_AS_SELECT_customer_id_COUNT_DISTINCT_invoi_202602231802;Extended Properties=&quot;&quot;" command="SELECT * FROM [_WITH_customer_orders_AS_SELECT_customer_id_COUNT_DISTINCT_invoi_202602231802]"/>
  </connection>
  <connection id="6" xr16:uid="{E30CF756-4897-4542-973D-BE5331413934}" keepAlive="1" name="Query - _WITH_customer_orders_AS_SELECT_customer_id_COUNT_DISTINCT_invoi_202602231825" description="Connection to the '_WITH_customer_orders_AS_SELECT_customer_id_COUNT_DISTINCT_invoi_202602231825' query in the workbook." type="5" refreshedVersion="0" background="1">
    <dbPr connection="Provider=Microsoft.Mashup.OleDb.1;Data Source=$Workbook$;Location=_WITH_customer_orders_AS_SELECT_customer_id_COUNT_DISTINCT_invoi_202602231825;Extended Properties=&quot;&quot;" command="SELECT * FROM [_WITH_customer_orders_AS_SELECT_customer_id_COUNT_DISTINCT_invoi_202602231825]"/>
  </connection>
  <connection id="7" xr16:uid="{614C758E-0577-416C-9EE1-9A54134FB71D}" keepAlive="1" name="Query - _WITH_customer_orders_AS_SELECT_customer_id_COUNT_DISTINCT_invoi_202602231835" description="Connection to the '_WITH_customer_orders_AS_SELECT_customer_id_COUNT_DISTINCT_invoi_202602231835' query in the workbook." type="5" refreshedVersion="8" background="1" saveData="1">
    <dbPr connection="Provider=Microsoft.Mashup.OleDb.1;Data Source=$Workbook$;Location=_WITH_customer_orders_AS_SELECT_customer_id_COUNT_DISTINCT_invoi_202602231835;Extended Properties=&quot;&quot;" command="SELECT * FROM [_WITH_customer_orders_AS_SELECT_customer_id_COUNT_DISTINCT_invoi_202602231835]"/>
  </connection>
  <connection id="8" xr16:uid="{312E16F9-1E9F-4597-B887-805C3E7BB7F4}" keepAlive="1" name="Query - _WITH_first_purchase_AS_SELECT_customer_id_DATE_TRUNC_month_MIN__202602231242" description="Connection to the '_WITH_first_purchase_AS_SELECT_customer_id_DATE_TRUNC_month_MIN__202602231242' query in the workbook." type="5" refreshedVersion="8" background="1" saveData="1">
    <dbPr connection="Provider=Microsoft.Mashup.OleDb.1;Data Source=$Workbook$;Location=_WITH_first_purchase_AS_SELECT_customer_id_DATE_TRUNC_month_MIN__202602231242;Extended Properties=&quot;&quot;" command="SELECT * FROM [_WITH_first_purchase_AS_SELECT_customer_id_DATE_TRUNC_month_MIN__202602231242]"/>
  </connection>
  <connection id="9" xr16:uid="{70E9F0FD-A215-419A-94EA-AE49E491690F}" keepAlive="1" name="Query - _WITH_first_purchase_AS_SELECT_customer_id_DATE_TRUNC_month_MIN__202602231459" description="Connection to the '_WITH_first_purchase_AS_SELECT_customer_id_DATE_TRUNC_month_MIN__202602231459' query in the workbook." type="5" refreshedVersion="8" background="1" saveData="1">
    <dbPr connection="Provider=Microsoft.Mashup.OleDb.1;Data Source=$Workbook$;Location=_WITH_first_purchase_AS_SELECT_customer_id_DATE_TRUNC_month_MIN__202602231459;Extended Properties=&quot;&quot;" command="SELECT * FROM [_WITH_first_purchase_AS_SELECT_customer_id_DATE_TRUNC_month_MIN__202602231459]"/>
  </connection>
  <connection id="10" xr16:uid="{E6038F0C-F880-4542-B983-247372BF6AAC}" keepAlive="1" name="Query - _WITH_first_purchase_AS_SELECT_customer_id_DATE_TRUNC_month_MIN__202602231512" description="Connection to the '_WITH_first_purchase_AS_SELECT_customer_id_DATE_TRUNC_month_MIN__202602231512' query in the workbook." type="5" refreshedVersion="0" background="1">
    <dbPr connection="Provider=Microsoft.Mashup.OleDb.1;Data Source=$Workbook$;Location=_WITH_first_purchase_AS_SELECT_customer_id_DATE_TRUNC_month_MIN__202602231512;Extended Properties=&quot;&quot;" command="SELECT * FROM [_WITH_first_purchase_AS_SELECT_customer_id_DATE_TRUNC_month_MIN__202602231512]"/>
  </connection>
  <connection id="11" xr16:uid="{9D66117F-F4BE-4F41-B817-1ACDA7223B68}" keepAlive="1" name="Query - _WITH_first_purchase_AS_SELECT_customer_id_DATE_TRUNC_month_MIN__202602231527" description="Connection to the '_WITH_first_purchase_AS_SELECT_customer_id_DATE_TRUNC_month_MIN__202602231527' query in the workbook." type="5" refreshedVersion="8" background="1" saveData="1">
    <dbPr connection="Provider=Microsoft.Mashup.OleDb.1;Data Source=$Workbook$;Location=_WITH_first_purchase_AS_SELECT_customer_id_DATE_TRUNC_month_MIN__202602231527;Extended Properties=&quot;&quot;" command="SELECT * FROM [_WITH_first_purchase_AS_SELECT_customer_id_DATE_TRUNC_month_MIN__202602231527]"/>
  </connection>
  <connection id="12" xr16:uid="{2AD1728A-DA29-474A-99C3-40EF7CFD6F9F}" keepAlive="1" name="Query - _WITH_first_purchase_AS_SELECT_customer_id_DATE_TRUNC_month_MIN__202602231727" description="Connection to the '_WITH_first_purchase_AS_SELECT_customer_id_DATE_TRUNC_month_MIN__202602231727' query in the workbook." type="5" refreshedVersion="8" background="1" saveData="1">
    <dbPr connection="Provider=Microsoft.Mashup.OleDb.1;Data Source=$Workbook$;Location=_WITH_first_purchase_AS_SELECT_customer_id_DATE_TRUNC_month_MIN__202602231727;Extended Properties=&quot;&quot;" command="SELECT * FROM [_WITH_first_purchase_AS_SELECT_customer_id_DATE_TRUNC_month_MIN__202602231727]"/>
  </connection>
  <connection id="13" xr16:uid="{6C29A5F4-B749-4948-978A-C4E516623413}" keepAlive="1" name="Query - _WITH_first_purchase_AS_SELECT_customer_id_DATE_TRUNC_month_MIN__202602232029" description="Connection to the '_WITH_first_purchase_AS_SELECT_customer_id_DATE_TRUNC_month_MIN__202602232029' query in the workbook." type="5" refreshedVersion="0" background="1">
    <dbPr connection="Provider=Microsoft.Mashup.OleDb.1;Data Source=$Workbook$;Location=_WITH_first_purchase_AS_SELECT_customer_id_DATE_TRUNC_month_MIN__202602232029;Extended Properties=&quot;&quot;" command="SELECT * FROM [_WITH_first_purchase_AS_SELECT_customer_id_DATE_TRUNC_month_MIN__202602232029]"/>
  </connection>
  <connection id="14" xr16:uid="{F72810A3-4A5C-4514-A73A-4E455B1CF279}" keepAlive="1" name="Query - _WITH_first_purchase_AS_SELECT_customer_id_DATE_TRUNC_month_MIN__202602232038" description="Connection to the '_WITH_first_purchase_AS_SELECT_customer_id_DATE_TRUNC_month_MIN__202602232038' query in the workbook." type="5" refreshedVersion="0" background="1">
    <dbPr connection="Provider=Microsoft.Mashup.OleDb.1;Data Source=$Workbook$;Location=_WITH_first_purchase_AS_SELECT_customer_id_DATE_TRUNC_month_MIN__202602232038;Extended Properties=&quot;&quot;" command="SELECT * FROM [_WITH_first_purchase_AS_SELECT_customer_id_DATE_TRUNC_month_MIN__202602232038]"/>
  </connection>
  <connection id="15" xr16:uid="{61CF49F9-4E5D-4AFC-BE69-347C97802C0B}" keepAlive="1" name="Query - _WITH_first_purchase_AS_SELECT_customer_id_DATE_TRUNC_month_MIN__202602232112" description="Connection to the '_WITH_first_purchase_AS_SELECT_customer_id_DATE_TRUNC_month_MIN__202602232112' query in the workbook." type="5" refreshedVersion="8" background="1" saveData="1">
    <dbPr connection="Provider=Microsoft.Mashup.OleDb.1;Data Source=$Workbook$;Location=_WITH_first_purchase_AS_SELECT_customer_id_DATE_TRUNC_month_MIN__202602232112;Extended Properties=&quot;&quot;" command="SELECT * FROM [_WITH_first_purchase_AS_SELECT_customer_id_DATE_TRUNC_month_MIN__202602232112]"/>
  </connection>
  <connection id="16" xr16:uid="{F019DF37-29B5-49B7-BA82-66A88DEA79F8}" keepAlive="1" name="Query - _WITH_first_purchase_AS_SELECT_customer_id_DATE_TRUNC_month_MIN__202602241021" description="Connection to the '_WITH_first_purchase_AS_SELECT_customer_id_DATE_TRUNC_month_MIN__202602241021' query in the workbook." type="5" refreshedVersion="8" background="1" saveData="1">
    <dbPr connection="Provider=Microsoft.Mashup.OleDb.1;Data Source=$Workbook$;Location=_WITH_first_purchase_AS_SELECT_customer_id_DATE_TRUNC_month_MIN__202602241021;Extended Properties=&quot;&quot;" command="SELECT * FROM [_WITH_first_purchase_AS_SELECT_customer_id_DATE_TRUNC_month_MIN__202602241021]"/>
  </connection>
  <connection id="17" xr16:uid="{7AB99B6B-B258-48AB-AF08-A5121740260F}" keepAlive="1" name="Query - _WITH_first_purchase_AS_SELECT_customer_id_MIN_DATE_TRUNC_month__202602231145" description="Connection to the '_WITH_first_purchase_AS_SELECT_customer_id_MIN_DATE_TRUNC_month__202602231145' query in the workbook." type="5" refreshedVersion="8" background="1" saveData="1">
    <dbPr connection="Provider=Microsoft.Mashup.OleDb.1;Data Source=$Workbook$;Location=_WITH_first_purchase_AS_SELECT_customer_id_MIN_DATE_TRUNC_month__202602231145;Extended Properties=&quot;&quot;" command="SELECT * FROM [_WITH_first_purchase_AS_SELECT_customer_id_MIN_DATE_TRUNC_month__202602231145]"/>
  </connection>
  <connection id="18" xr16:uid="{334768DC-176A-46B5-A173-605335D4E299}" keepAlive="1" name="Query - ltv_by_month_202602231550" description="Connection to the 'ltv_by_month_202602231550' query in the workbook." type="5" refreshedVersion="8" background="1" saveData="1">
    <dbPr connection="Provider=Microsoft.Mashup.OleDb.1;Data Source=$Workbook$;Location=ltv_by_month_202602231550;Extended Properties=&quot;&quot;" command="SELECT * FROM [ltv_by_month_202602231550]"/>
  </connection>
</connections>
</file>

<file path=xl/sharedStrings.xml><?xml version="1.0" encoding="utf-8"?>
<sst xmlns="http://schemas.openxmlformats.org/spreadsheetml/2006/main" count="167" uniqueCount="51">
  <si>
    <t>cohort_month</t>
  </si>
  <si>
    <t>cohort_index</t>
  </si>
  <si>
    <t>customers</t>
  </si>
  <si>
    <t>retention_rate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</si>
  <si>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</si>
  <si>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</si>
  <si>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</si>
  <si>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</si>
  <si>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</si>
  <si>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</si>
  <si>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</si>
  <si>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</si>
  <si>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</si>
  <si>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</si>
  <si>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</si>
  <si>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</si>
  <si>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</si>
  <si>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Row Labels</t>
  </si>
  <si>
    <t>Column Labels</t>
  </si>
  <si>
    <t>Retention Rate</t>
  </si>
  <si>
    <t>ltv_per_customer</t>
  </si>
  <si>
    <t>Cohort LTV per Customer</t>
  </si>
  <si>
    <t>month</t>
  </si>
  <si>
    <t>monthly_revenue</t>
  </si>
  <si>
    <t>cohort_revenue</t>
  </si>
  <si>
    <t>revenue_per_customer</t>
  </si>
  <si>
    <t>ltv_month_3</t>
  </si>
  <si>
    <t>Column1</t>
  </si>
  <si>
    <t>Column2</t>
  </si>
  <si>
    <t>avg_retention</t>
  </si>
  <si>
    <t>customer_type</t>
  </si>
  <si>
    <t>total_revenue</t>
  </si>
  <si>
    <t>One-time</t>
  </si>
  <si>
    <t>Repeat</t>
  </si>
  <si>
    <t>order_bucket</t>
  </si>
  <si>
    <t>1</t>
  </si>
  <si>
    <t>10+</t>
  </si>
  <si>
    <t>2-3</t>
  </si>
  <si>
    <t>4-5</t>
  </si>
  <si>
    <t>6-10</t>
  </si>
  <si>
    <t>segment</t>
  </si>
  <si>
    <t>Champions</t>
  </si>
  <si>
    <t>Loyal</t>
  </si>
  <si>
    <t>At Risk</t>
  </si>
  <si>
    <t>Others</t>
  </si>
  <si>
    <t>New Customers</t>
  </si>
  <si>
    <t>monthly_active_customers</t>
  </si>
  <si>
    <t>revenue</t>
  </si>
  <si>
    <t>active_customers</t>
  </si>
  <si>
    <t>revenue_per_active_customer</t>
  </si>
  <si>
    <t>cohort_size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</si>
</sst>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yyyy\-mm"/>
    <numFmt numFmtId="166" formatCode="[$$-409]#,##0.00"/>
    <numFmt numFmtId="167" formatCode="[$$-1409]#,##0.00"/>
    <numFmt numFmtId="168" formatCode="[$$-4809]#,##0.00"/>
    <numFmt numFmtId="169" formatCode="[$$-1009]#,##0.00"/>
  </numFmts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0" borderId="0" xfId="0" pivotButton="1"/>
    <xf numFmtId="2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  <xf numFmtId="169" fontId="0" fillId="0" borderId="0" xfId="0" applyNumberFormat="1"/>
    <xf numFmtId="10" fontId="0" fillId="0" borderId="0" xfId="0" applyNumberFormat="1"/>
    <xf numFmtId="0" fontId="0" fillId="2" borderId="3" xfId="0" applyFill="1" applyBorder="1"/>
    <xf numFmtId="0" fontId="0" fillId="0" borderId="3" xfId="0" applyBorder="1"/>
    <xf numFmtId="0" fontId="0" fillId="0" borderId="1" xfId="0" applyBorder="1"/>
    <xf numFmtId="0" fontId="0" fillId="2" borderId="1" xfId="0" applyFill="1" applyBorder="1"/>
    <xf numFmtId="9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166" formatCode="[$$-409]#,##0.00"/>
    </dxf>
    <dxf>
      <numFmt numFmtId="165" formatCode="yyyy\-mm"/>
    </dxf>
    <dxf>
      <numFmt numFmtId="0" formatCode="General"/>
    </dxf>
    <dxf>
      <numFmt numFmtId="0" formatCode="General"/>
    </dxf>
    <dxf>
      <numFmt numFmtId="165" formatCode="yyyy\-mm"/>
    </dxf>
    <dxf>
      <numFmt numFmtId="165" formatCode="yyyy\-mm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1409]#,##0.00"/>
    </dxf>
    <dxf>
      <numFmt numFmtId="165" formatCode="yyyy\-mm"/>
    </dxf>
    <dxf>
      <numFmt numFmtId="169" formatCode="[$$-1009]#,##0.00"/>
    </dxf>
    <dxf>
      <numFmt numFmtId="165" formatCode="yyyy\-mm"/>
    </dxf>
    <dxf>
      <numFmt numFmtId="168" formatCode="[$$-4809]#,##0.00"/>
    </dxf>
    <dxf>
      <numFmt numFmtId="165" formatCode="yyyy\-mm"/>
    </dxf>
    <dxf>
      <alignment horizontal="center"/>
    </dxf>
    <dxf>
      <alignment horizontal="center"/>
    </dxf>
    <dxf>
      <alignment horizontal="center"/>
    </dxf>
    <dxf>
      <numFmt numFmtId="165" formatCode="yyyy\-mm"/>
    </dxf>
    <dxf>
      <numFmt numFmtId="167" formatCode="[$$-1409]#,##0.00"/>
    </dxf>
    <dxf>
      <numFmt numFmtId="165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Acquisition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by Acquisition Cohort'!$B$1</c:f>
              <c:strCache>
                <c:ptCount val="1"/>
                <c:pt idx="0">
                  <c:v>cohort_revenue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by Acquisition Cohort'!$A$2:$A$13</c:f>
              <c:numCache>
                <c:formatCode>yyyy\-mm</c:formatCode>
                <c:ptCount val="12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</c:numCache>
            </c:numRef>
          </c:cat>
          <c:val>
            <c:numRef>
              <c:f>'Revenue by Acquisition Cohort'!$B$2:$B$13</c:f>
              <c:numCache>
                <c:formatCode>[$$-4809]#\ ##0.00</c:formatCode>
                <c:ptCount val="12"/>
                <c:pt idx="0">
                  <c:v>1117410.9609999999</c:v>
                </c:pt>
                <c:pt idx="1">
                  <c:v>590766.41</c:v>
                </c:pt>
                <c:pt idx="2">
                  <c:v>640219.36</c:v>
                </c:pt>
                <c:pt idx="3">
                  <c:v>324400.30099999998</c:v>
                </c:pt>
                <c:pt idx="4">
                  <c:v>285716.28000000003</c:v>
                </c:pt>
                <c:pt idx="5">
                  <c:v>272333.23</c:v>
                </c:pt>
                <c:pt idx="6">
                  <c:v>143497.47099999999</c:v>
                </c:pt>
                <c:pt idx="7">
                  <c:v>194517.92</c:v>
                </c:pt>
                <c:pt idx="8">
                  <c:v>232809.08100000001</c:v>
                </c:pt>
                <c:pt idx="9">
                  <c:v>226283.88</c:v>
                </c:pt>
                <c:pt idx="10">
                  <c:v>151090.34</c:v>
                </c:pt>
                <c:pt idx="11">
                  <c:v>26944.69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1-4C28-825E-E08C713C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595231"/>
        <c:axId val="1477596671"/>
      </c:lineChart>
      <c:dateAx>
        <c:axId val="1477595231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77596671"/>
        <c:crosses val="autoZero"/>
        <c:auto val="1"/>
        <c:lblOffset val="100"/>
        <c:baseTimeUnit val="months"/>
      </c:dateAx>
      <c:valAx>
        <c:axId val="14775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8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7759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Revenue Trend'!$A$2:$A$13</c:f>
              <c:numCache>
                <c:formatCode>yyyy\-mm</c:formatCode>
                <c:ptCount val="12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</c:numCache>
            </c:numRef>
          </c:cat>
          <c:val>
            <c:numRef>
              <c:f>'Monthly Revenue Trend'!$B$2:$B$13</c:f>
              <c:numCache>
                <c:formatCode>[$$-1409]#\ ##0.00</c:formatCode>
                <c:ptCount val="12"/>
                <c:pt idx="0">
                  <c:v>817516.69</c:v>
                </c:pt>
                <c:pt idx="1">
                  <c:v>684856.35</c:v>
                </c:pt>
                <c:pt idx="2">
                  <c:v>518157.75</c:v>
                </c:pt>
                <c:pt idx="3">
                  <c:v>712377.03</c:v>
                </c:pt>
                <c:pt idx="4">
                  <c:v>532901.34100000001</c:v>
                </c:pt>
                <c:pt idx="5">
                  <c:v>764670.67</c:v>
                </c:pt>
                <c:pt idx="6">
                  <c:v>756666.36</c:v>
                </c:pt>
                <c:pt idx="7">
                  <c:v>714531.35100000002</c:v>
                </c:pt>
                <c:pt idx="8">
                  <c:v>733208.85</c:v>
                </c:pt>
                <c:pt idx="9">
                  <c:v>1052708.5719999999</c:v>
                </c:pt>
                <c:pt idx="10">
                  <c:v>1150299.32</c:v>
                </c:pt>
                <c:pt idx="11">
                  <c:v>1503306.81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1-4816-98A3-6AC9B4610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089535"/>
        <c:axId val="1415091935"/>
      </c:lineChart>
      <c:dateAx>
        <c:axId val="1415089535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5091935"/>
        <c:crosses val="autoZero"/>
        <c:auto val="1"/>
        <c:lblOffset val="100"/>
        <c:baseTimeUnit val="months"/>
      </c:dateAx>
      <c:valAx>
        <c:axId val="14150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508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per Customer by Acquisition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'rvn per cus by coh'!$B$1</c:f>
              <c:strCache>
                <c:ptCount val="1"/>
                <c:pt idx="0">
                  <c:v>revenue_per_customer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'rvn per cus by coh'!$A$2:$A$14</c:f>
              <c:numCache>
                <c:formatCode>yyyy\-mm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'rvn per cus by coh'!$B$2:$B$14</c:f>
              <c:numCache>
                <c:formatCode>[$$-1009]#\ ##0.00</c:formatCode>
                <c:ptCount val="13"/>
                <c:pt idx="0">
                  <c:v>7008.8889830508397</c:v>
                </c:pt>
                <c:pt idx="1">
                  <c:v>2679.6425923261299</c:v>
                </c:pt>
                <c:pt idx="2">
                  <c:v>1554.64844736842</c:v>
                </c:pt>
                <c:pt idx="3">
                  <c:v>1419.5551219512099</c:v>
                </c:pt>
                <c:pt idx="4">
                  <c:v>1081.33433666666</c:v>
                </c:pt>
                <c:pt idx="5">
                  <c:v>1006.04323943661</c:v>
                </c:pt>
                <c:pt idx="6">
                  <c:v>1125.3439256198301</c:v>
                </c:pt>
                <c:pt idx="7">
                  <c:v>763.28442021276499</c:v>
                </c:pt>
                <c:pt idx="8">
                  <c:v>1150.9936094674499</c:v>
                </c:pt>
                <c:pt idx="9">
                  <c:v>778.62568896321</c:v>
                </c:pt>
                <c:pt idx="10">
                  <c:v>632.077877094972</c:v>
                </c:pt>
                <c:pt idx="11">
                  <c:v>466.32820987654299</c:v>
                </c:pt>
                <c:pt idx="12">
                  <c:v>657.18756097560902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B-4C8A-B21C-2A26CCD64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938287"/>
        <c:axId val="1268936847"/>
      </c:lineChart>
      <c:dateAx>
        <c:axId val="1268938287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8936847"/>
        <c:crosses val="autoZero"/>
        <c:auto val="1"/>
        <c:lblOffset val="100"/>
        <c:baseTimeUnit val="months"/>
      </c:dateAx>
      <c:valAx>
        <c:axId val="12689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893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LTV at Month 3 by Acquisition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'LTV at Month 3 by Acquisition C'!$B$1</c:f>
              <c:strCache>
                <c:ptCount val="1"/>
                <c:pt idx="0">
                  <c:v>ltv_month_3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'LTV at Month 3 by Acquisition C'!$A$2:$A$11</c:f>
              <c:numCache>
                <c:formatCode>yyyy\-mm</c:formatCode>
                <c:ptCount val="10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</c:numCache>
            </c:numRef>
          </c:cat>
          <c:val>
            <c:numRef>
              <c:f>'LTV at Month 3 by Acquisition C'!$B$2:$B$11</c:f>
              <c:numCache>
                <c:formatCode>[$$-1409]#\ ##0.00</c:formatCode>
                <c:ptCount val="10"/>
                <c:pt idx="0">
                  <c:v>1238.6251026392899</c:v>
                </c:pt>
                <c:pt idx="1">
                  <c:v>736.916354166666</c:v>
                </c:pt>
                <c:pt idx="2">
                  <c:v>444.05129629629602</c:v>
                </c:pt>
                <c:pt idx="3">
                  <c:v>473.42477777777702</c:v>
                </c:pt>
                <c:pt idx="4">
                  <c:v>384.68888888888802</c:v>
                </c:pt>
                <c:pt idx="5">
                  <c:v>389.11897959183602</c:v>
                </c:pt>
                <c:pt idx="6">
                  <c:v>481.60078125000001</c:v>
                </c:pt>
                <c:pt idx="7">
                  <c:v>412.19952380952299</c:v>
                </c:pt>
                <c:pt idx="8">
                  <c:v>1079.3692682926801</c:v>
                </c:pt>
                <c:pt idx="9">
                  <c:v>361.30176470588202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2-4747-89F1-788C5391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330607"/>
        <c:axId val="1369333007"/>
      </c:barChart>
      <c:dateAx>
        <c:axId val="1369330607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69333007"/>
        <c:crosses val="autoZero"/>
        <c:auto val="1"/>
        <c:lblOffset val="100"/>
        <c:baseTimeUnit val="months"/>
      </c:dateAx>
      <c:valAx>
        <c:axId val="13693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6933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Retention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Retention by Month'!$B$1</c:f>
              <c:strCache>
                <c:ptCount val="1"/>
                <c:pt idx="0">
                  <c:v>avg_retention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Retention by Month'!$A$2:$A$4</c:f>
              <c:strCache>
                <c:ptCount val="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</c:strCache>
            </c:strRef>
          </c:cat>
          <c:val>
            <c:numRef>
              <c:f>'Avg Retention by Month'!$B$2:$B$4</c:f>
              <c:numCache>
                <c:formatCode>0.00%</c:formatCode>
                <c:ptCount val="3"/>
                <c:pt idx="0">
                  <c:v>0.20632509485216499</c:v>
                </c:pt>
                <c:pt idx="1">
                  <c:v>0.22131671820585999</c:v>
                </c:pt>
                <c:pt idx="2">
                  <c:v>0.232601183051905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FD6-90F7-0964D56D3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999887"/>
        <c:axId val="1264001807"/>
      </c:lineChart>
      <c:catAx>
        <c:axId val="12639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4001807"/>
        <c:crosses val="autoZero"/>
        <c:auto val="1"/>
        <c:lblAlgn val="ctr"/>
        <c:lblOffset val="100"/>
        <c:noMultiLvlLbl val="0"/>
      </c:catAx>
      <c:valAx>
        <c:axId val="12640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399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Repeat vs One-Time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Contribution'!$A$3:$A$4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'Revenue Contribution'!$B$3:$B$4</c:f>
              <c:numCache>
                <c:formatCode>General</c:formatCode>
                <c:ptCount val="2"/>
                <c:pt idx="0">
                  <c:v>613334.92099999997</c:v>
                </c:pt>
                <c:pt idx="1">
                  <c:v>9795521.7530000005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F-4681-9B68-4CAB79BD6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3565855"/>
        <c:axId val="1183566335"/>
      </c:barChart>
      <c:catAx>
        <c:axId val="118356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83566335"/>
        <c:crosses val="autoZero"/>
        <c:auto val="1"/>
        <c:lblAlgn val="ctr"/>
        <c:lblOffset val="100"/>
        <c:noMultiLvlLbl val="0"/>
      </c:catAx>
      <c:valAx>
        <c:axId val="118356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8356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Frequency Distribution'!$A$2:$A$6</c:f>
              <c:strCache>
                <c:ptCount val="5"/>
                <c:pt idx="0">
                  <c:v>1</c:v>
                </c:pt>
                <c:pt idx="1">
                  <c:v>2-3</c:v>
                </c:pt>
                <c:pt idx="2">
                  <c:v>4-5</c:v>
                </c:pt>
                <c:pt idx="3">
                  <c:v>6-10</c:v>
                </c:pt>
                <c:pt idx="4">
                  <c:v>10+</c:v>
                </c:pt>
              </c:strCache>
            </c:strRef>
          </c:cat>
          <c:val>
            <c:numRef>
              <c:f>'Order Frequency Distribution'!$B$2:$B$6</c:f>
              <c:numCache>
                <c:formatCode>General</c:formatCode>
                <c:ptCount val="5"/>
                <c:pt idx="0">
                  <c:v>1494</c:v>
                </c:pt>
                <c:pt idx="1">
                  <c:v>1341</c:v>
                </c:pt>
                <c:pt idx="2">
                  <c:v>630</c:v>
                </c:pt>
                <c:pt idx="3">
                  <c:v>535</c:v>
                </c:pt>
                <c:pt idx="4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2-48DB-8025-E624A3E37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721711"/>
        <c:axId val="1355722191"/>
      </c:barChart>
      <c:catAx>
        <c:axId val="135572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55722191"/>
        <c:crosses val="autoZero"/>
        <c:auto val="1"/>
        <c:lblAlgn val="ctr"/>
        <c:lblOffset val="100"/>
        <c:noMultiLvlLbl val="0"/>
      </c:catAx>
      <c:valAx>
        <c:axId val="135572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5572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Count by RFM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'Revenue by RFM Segment'!$B$1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RFM Segment'!$A$2:$A$6</c:f>
              <c:strCache>
                <c:ptCount val="5"/>
                <c:pt idx="0">
                  <c:v>New Customers</c:v>
                </c:pt>
                <c:pt idx="1">
                  <c:v>Others</c:v>
                </c:pt>
                <c:pt idx="2">
                  <c:v>At Risk</c:v>
                </c:pt>
                <c:pt idx="3">
                  <c:v>Loyal</c:v>
                </c:pt>
                <c:pt idx="4">
                  <c:v>Champions</c:v>
                </c:pt>
              </c:strCache>
            </c:strRef>
          </c:cat>
          <c:val>
            <c:numRef>
              <c:f>'Revenue by RFM Segment'!$B$2:$B$6</c:f>
              <c:numCache>
                <c:formatCode>General</c:formatCode>
                <c:ptCount val="5"/>
                <c:pt idx="0">
                  <c:v>308</c:v>
                </c:pt>
                <c:pt idx="1">
                  <c:v>1428</c:v>
                </c:pt>
                <c:pt idx="2">
                  <c:v>656</c:v>
                </c:pt>
                <c:pt idx="3">
                  <c:v>993</c:v>
                </c:pt>
                <c:pt idx="4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C-45F6-8071-65817A616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744879"/>
        <c:axId val="20827501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'Revenue by RFM Segment'!$C$1</c15:sqref>
                        </c15:formulaRef>
                      </c:ext>
                    </c:extLst>
                    <c:strCache>
                      <c:ptCount val="1"/>
                      <c:pt idx="0">
                        <c:v>total_revenue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'Revenue by RFM Segment'!$A$2:$A$6</c15:sqref>
                        </c15:formulaRef>
                      </c:ext>
                    </c:extLst>
                    <c:strCache>
                      <c:ptCount val="5"/>
                      <c:pt idx="0">
                        <c:v>New Customers</c:v>
                      </c:pt>
                      <c:pt idx="1">
                        <c:v>Others</c:v>
                      </c:pt>
                      <c:pt idx="2">
                        <c:v>At Risk</c:v>
                      </c:pt>
                      <c:pt idx="3">
                        <c:v>Loyal</c:v>
                      </c:pt>
                      <c:pt idx="4">
                        <c:v>Champions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'Revenue by RFM Segment'!$C$2:$C$6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112449.94</c:v>
                      </c:pt>
                      <c:pt idx="1">
                        <c:v>628796.15099999995</c:v>
                      </c:pt>
                      <c:pt idx="2">
                        <c:v>864770.522</c:v>
                      </c:pt>
                      <c:pt idx="3">
                        <c:v>1374908.1510000001</c:v>
                      </c:pt>
                      <c:pt idx="4">
                        <c:v>7427931.9100000001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89C-45F6-8071-65817A616707}"/>
                  </c:ext>
                </c:extLst>
              </c15:ser>
            </c15:filteredBarSeries>
          </c:ext>
        </c:extLst>
      </c:barChart>
      <c:catAx>
        <c:axId val="208274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82750159"/>
        <c:crosses val="autoZero"/>
        <c:auto val="1"/>
        <c:lblAlgn val="ctr"/>
        <c:lblOffset val="100"/>
        <c:noMultiLvlLbl val="0"/>
      </c:catAx>
      <c:valAx>
        <c:axId val="208275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827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RFM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'Revenue by RFM Segment'!$C$1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RFM Segment'!$A$2:$A$6</c:f>
              <c:strCache>
                <c:ptCount val="5"/>
                <c:pt idx="0">
                  <c:v>New Customers</c:v>
                </c:pt>
                <c:pt idx="1">
                  <c:v>Others</c:v>
                </c:pt>
                <c:pt idx="2">
                  <c:v>At Risk</c:v>
                </c:pt>
                <c:pt idx="3">
                  <c:v>Loyal</c:v>
                </c:pt>
                <c:pt idx="4">
                  <c:v>Champions</c:v>
                </c:pt>
              </c:strCache>
            </c:strRef>
          </c:cat>
          <c:val>
            <c:numRef>
              <c:f>'Revenue by RFM Segment'!$C$2:$C$6</c:f>
              <c:numCache>
                <c:formatCode>General</c:formatCode>
                <c:ptCount val="5"/>
                <c:pt idx="0">
                  <c:v>112449.94</c:v>
                </c:pt>
                <c:pt idx="1">
                  <c:v>628796.15099999995</c:v>
                </c:pt>
                <c:pt idx="2">
                  <c:v>864770.522</c:v>
                </c:pt>
                <c:pt idx="3">
                  <c:v>1374908.1510000001</c:v>
                </c:pt>
                <c:pt idx="4">
                  <c:v>7427931.9100000001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1-4869-B684-F892B422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2614751"/>
        <c:axId val="11826142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'Revenue by RFM Segment'!$B$1</c15:sqref>
                        </c15:formulaRef>
                      </c:ext>
                    </c:extLst>
                    <c:strCache>
                      <c:ptCount val="1"/>
                      <c:pt idx="0">
                        <c:v>customers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'Revenue by RFM Segment'!$A$2:$A$6</c15:sqref>
                        </c15:formulaRef>
                      </c:ext>
                    </c:extLst>
                    <c:strCache>
                      <c:ptCount val="5"/>
                      <c:pt idx="0">
                        <c:v>New Customers</c:v>
                      </c:pt>
                      <c:pt idx="1">
                        <c:v>Others</c:v>
                      </c:pt>
                      <c:pt idx="2">
                        <c:v>At Risk</c:v>
                      </c:pt>
                      <c:pt idx="3">
                        <c:v>Loyal</c:v>
                      </c:pt>
                      <c:pt idx="4">
                        <c:v>Champions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'Revenue by RFM Segment'!$B$2:$B$6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308</c:v>
                      </c:pt>
                      <c:pt idx="1">
                        <c:v>1428</c:v>
                      </c:pt>
                      <c:pt idx="2">
                        <c:v>656</c:v>
                      </c:pt>
                      <c:pt idx="3">
                        <c:v>993</c:v>
                      </c:pt>
                      <c:pt idx="4">
                        <c:v>953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81-4869-B684-F892B422C1DF}"/>
                  </c:ext>
                </c:extLst>
              </c15:ser>
            </c15:filteredBarSeries>
          </c:ext>
        </c:extLst>
      </c:barChart>
      <c:catAx>
        <c:axId val="118261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82614271"/>
        <c:crosses val="autoZero"/>
        <c:auto val="1"/>
        <c:lblAlgn val="ctr"/>
        <c:lblOffset val="100"/>
        <c:noMultiLvlLbl val="0"/>
      </c:catAx>
      <c:valAx>
        <c:axId val="118261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8261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'Retention Curve'!$B$1</c:f>
              <c:strCache>
                <c:ptCount val="1"/>
                <c:pt idx="0">
                  <c:v>avg_retention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'Retention Curve'!$A$2:$A$7</c:f>
              <c:strCache>
                <c:ptCount val="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</c:strCache>
            </c:strRef>
          </c:cat>
          <c:val>
            <c:numRef>
              <c:f>'Retention Curve'!$B$2:$B$7</c:f>
              <c:numCache>
                <c:formatCode>0%</c:formatCode>
                <c:ptCount val="6"/>
                <c:pt idx="0">
                  <c:v>0.227367931114731</c:v>
                </c:pt>
                <c:pt idx="1">
                  <c:v>0.23735212685627899</c:v>
                </c:pt>
                <c:pt idx="2">
                  <c:v>0.25670816044259998</c:v>
                </c:pt>
                <c:pt idx="3">
                  <c:v>0.27322074788902201</c:v>
                </c:pt>
                <c:pt idx="4">
                  <c:v>0.27931363203050502</c:v>
                </c:pt>
                <c:pt idx="5">
                  <c:v>0.27171341669482901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5-47C0-A438-95D3B2B05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998927"/>
        <c:axId val="1136197583"/>
      </c:lineChart>
      <c:catAx>
        <c:axId val="12639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6197583"/>
        <c:crosses val="autoZero"/>
        <c:auto val="1"/>
        <c:lblAlgn val="ctr"/>
        <c:lblOffset val="100"/>
        <c:noMultiLvlLbl val="0"/>
      </c:catAx>
      <c:valAx>
        <c:axId val="11361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399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Active Customers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 actv cutm trend'!$A$2:$A$14</c:f>
              <c:numCache>
                <c:formatCode>yyyy\-mm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'mont actv cutm trend'!$B$2:$B$14</c:f>
              <c:numCache>
                <c:formatCode>General</c:formatCode>
                <c:ptCount val="13"/>
                <c:pt idx="0">
                  <c:v>885</c:v>
                </c:pt>
                <c:pt idx="1">
                  <c:v>742</c:v>
                </c:pt>
                <c:pt idx="2">
                  <c:v>759</c:v>
                </c:pt>
                <c:pt idx="3">
                  <c:v>974</c:v>
                </c:pt>
                <c:pt idx="4">
                  <c:v>857</c:v>
                </c:pt>
                <c:pt idx="5">
                  <c:v>1057</c:v>
                </c:pt>
                <c:pt idx="6">
                  <c:v>992</c:v>
                </c:pt>
                <c:pt idx="7">
                  <c:v>950</c:v>
                </c:pt>
                <c:pt idx="8">
                  <c:v>935</c:v>
                </c:pt>
                <c:pt idx="9">
                  <c:v>1266</c:v>
                </c:pt>
                <c:pt idx="10">
                  <c:v>1365</c:v>
                </c:pt>
                <c:pt idx="11">
                  <c:v>1666</c:v>
                </c:pt>
                <c:pt idx="12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1-4E33-8A2C-4F7ED9994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138207"/>
        <c:axId val="1414135807"/>
      </c:lineChart>
      <c:dateAx>
        <c:axId val="1414138207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4135807"/>
        <c:crosses val="autoZero"/>
        <c:auto val="1"/>
        <c:lblOffset val="100"/>
        <c:baseTimeUnit val="months"/>
      </c:dateAx>
      <c:valAx>
        <c:axId val="141413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413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per Active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'Rvn per act ctmr'!$A$2:$A$14</c:f>
              <c:numCache>
                <c:formatCode>yyyy\-mm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'Rvn per act ctmr'!$D$2:$D$14</c:f>
              <c:numCache>
                <c:formatCode>General</c:formatCode>
                <c:ptCount val="13"/>
                <c:pt idx="0">
                  <c:v>923.74767231638396</c:v>
                </c:pt>
                <c:pt idx="1">
                  <c:v>922.98699460916396</c:v>
                </c:pt>
                <c:pt idx="2">
                  <c:v>682.68478260869495</c:v>
                </c:pt>
                <c:pt idx="3">
                  <c:v>731.393254620123</c:v>
                </c:pt>
                <c:pt idx="4">
                  <c:v>621.82186814469003</c:v>
                </c:pt>
                <c:pt idx="5">
                  <c:v>723.43488174077504</c:v>
                </c:pt>
                <c:pt idx="6">
                  <c:v>762.76850806451603</c:v>
                </c:pt>
                <c:pt idx="7">
                  <c:v>752.13826421052602</c:v>
                </c:pt>
                <c:pt idx="8">
                  <c:v>784.18058823529395</c:v>
                </c:pt>
                <c:pt idx="9">
                  <c:v>831.52335860979395</c:v>
                </c:pt>
                <c:pt idx="10">
                  <c:v>842.71012454212405</c:v>
                </c:pt>
                <c:pt idx="11">
                  <c:v>902.34502400960298</c:v>
                </c:pt>
                <c:pt idx="12">
                  <c:v>761.65403908794701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1-4C1A-AC24-0B35AEBA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98575"/>
        <c:axId val="131597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'Rvn per act ctmr'!$A$2:$A$14</c15:sqref>
                        </c15:formulaRef>
                      </c:ext>
                    </c:extLst>
                    <c:numCache>
                      <c:formatCode>yyyy\-mm</c:formatCode>
                      <c:ptCount val="13"/>
                      <c:pt idx="0">
                        <c:v>40513</c:v>
                      </c:pt>
                      <c:pt idx="1">
                        <c:v>40544</c:v>
                      </c:pt>
                      <c:pt idx="2">
                        <c:v>40575</c:v>
                      </c:pt>
                      <c:pt idx="3">
                        <c:v>40603</c:v>
                      </c:pt>
                      <c:pt idx="4">
                        <c:v>40634</c:v>
                      </c:pt>
                      <c:pt idx="5">
                        <c:v>40664</c:v>
                      </c:pt>
                      <c:pt idx="6">
                        <c:v>40695</c:v>
                      </c:pt>
                      <c:pt idx="7">
                        <c:v>40725</c:v>
                      </c:pt>
                      <c:pt idx="8">
                        <c:v>40756</c:v>
                      </c:pt>
                      <c:pt idx="9">
                        <c:v>40787</c:v>
                      </c:pt>
                      <c:pt idx="10">
                        <c:v>40817</c:v>
                      </c:pt>
                      <c:pt idx="11">
                        <c:v>40848</c:v>
                      </c:pt>
                      <c:pt idx="12">
                        <c:v>40878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'Rvn per act ctmr'!$B$2:$B$14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817516.69</c:v>
                      </c:pt>
                      <c:pt idx="1">
                        <c:v>684856.35</c:v>
                      </c:pt>
                      <c:pt idx="2">
                        <c:v>518157.75</c:v>
                      </c:pt>
                      <c:pt idx="3">
                        <c:v>712377.03</c:v>
                      </c:pt>
                      <c:pt idx="4">
                        <c:v>532901.34100000001</c:v>
                      </c:pt>
                      <c:pt idx="5">
                        <c:v>764670.67</c:v>
                      </c:pt>
                      <c:pt idx="6">
                        <c:v>756666.36</c:v>
                      </c:pt>
                      <c:pt idx="7">
                        <c:v>714531.35100000002</c:v>
                      </c:pt>
                      <c:pt idx="8">
                        <c:v>733208.85</c:v>
                      </c:pt>
                      <c:pt idx="9">
                        <c:v>1052708.5719999999</c:v>
                      </c:pt>
                      <c:pt idx="10">
                        <c:v>1150299.32</c:v>
                      </c:pt>
                      <c:pt idx="11">
                        <c:v>1503306.81</c:v>
                      </c:pt>
                      <c:pt idx="12">
                        <c:v>467655.58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B41-4C1A-AC24-0B35AEBAB33A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'Rvn per act ctmr'!$A$2:$A$14</c15:sqref>
                        </c15:formulaRef>
                      </c:ext>
                    </c:extLst>
                    <c:numCache>
                      <c:formatCode>yyyy\-mm</c:formatCode>
                      <c:ptCount val="13"/>
                      <c:pt idx="0">
                        <c:v>40513</c:v>
                      </c:pt>
                      <c:pt idx="1">
                        <c:v>40544</c:v>
                      </c:pt>
                      <c:pt idx="2">
                        <c:v>40575</c:v>
                      </c:pt>
                      <c:pt idx="3">
                        <c:v>40603</c:v>
                      </c:pt>
                      <c:pt idx="4">
                        <c:v>40634</c:v>
                      </c:pt>
                      <c:pt idx="5">
                        <c:v>40664</c:v>
                      </c:pt>
                      <c:pt idx="6">
                        <c:v>40695</c:v>
                      </c:pt>
                      <c:pt idx="7">
                        <c:v>40725</c:v>
                      </c:pt>
                      <c:pt idx="8">
                        <c:v>40756</c:v>
                      </c:pt>
                      <c:pt idx="9">
                        <c:v>40787</c:v>
                      </c:pt>
                      <c:pt idx="10">
                        <c:v>40817</c:v>
                      </c:pt>
                      <c:pt idx="11">
                        <c:v>40848</c:v>
                      </c:pt>
                      <c:pt idx="12">
                        <c:v>40878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'Rvn per act ctmr'!$C$2:$C$14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885</c:v>
                      </c:pt>
                      <c:pt idx="1">
                        <c:v>742</c:v>
                      </c:pt>
                      <c:pt idx="2">
                        <c:v>759</c:v>
                      </c:pt>
                      <c:pt idx="3">
                        <c:v>974</c:v>
                      </c:pt>
                      <c:pt idx="4">
                        <c:v>857</c:v>
                      </c:pt>
                      <c:pt idx="5">
                        <c:v>1057</c:v>
                      </c:pt>
                      <c:pt idx="6">
                        <c:v>992</c:v>
                      </c:pt>
                      <c:pt idx="7">
                        <c:v>950</c:v>
                      </c:pt>
                      <c:pt idx="8">
                        <c:v>935</c:v>
                      </c:pt>
                      <c:pt idx="9">
                        <c:v>1266</c:v>
                      </c:pt>
                      <c:pt idx="10">
                        <c:v>1365</c:v>
                      </c:pt>
                      <c:pt idx="11">
                        <c:v>1666</c:v>
                      </c:pt>
                      <c:pt idx="12">
                        <c:v>614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B41-4C1A-AC24-0B35AEBAB33A}"/>
                  </c:ext>
                </c:extLst>
              </c15:ser>
            </c15:filteredLineSeries>
          </c:ext>
        </c:extLst>
      </c:lineChart>
      <c:dateAx>
        <c:axId val="131598575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1597135"/>
        <c:crosses val="autoZero"/>
        <c:auto val="1"/>
        <c:lblOffset val="100"/>
        <c:baseTimeUnit val="months"/>
      </c:dateAx>
      <c:valAx>
        <c:axId val="13159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15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Acquisition Trend (Cohort Size)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'Cohort Size Over Time'!$B$1</c:f>
              <c:strCache>
                <c:ptCount val="1"/>
                <c:pt idx="0">
                  <c:v>cohort_size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'Cohort Size Over Time'!$A$2:$A$14</c:f>
              <c:numCache>
                <c:formatCode>yyyy\-mm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'Cohort Size Over Time'!$B$2:$B$14</c:f>
              <c:numCache>
                <c:formatCode>General</c:formatCode>
                <c:ptCount val="13"/>
                <c:pt idx="0">
                  <c:v>885</c:v>
                </c:pt>
                <c:pt idx="1">
                  <c:v>417</c:v>
                </c:pt>
                <c:pt idx="2">
                  <c:v>380</c:v>
                </c:pt>
                <c:pt idx="3">
                  <c:v>451</c:v>
                </c:pt>
                <c:pt idx="4">
                  <c:v>300</c:v>
                </c:pt>
                <c:pt idx="5">
                  <c:v>284</c:v>
                </c:pt>
                <c:pt idx="6">
                  <c:v>242</c:v>
                </c:pt>
                <c:pt idx="7">
                  <c:v>188</c:v>
                </c:pt>
                <c:pt idx="8">
                  <c:v>169</c:v>
                </c:pt>
                <c:pt idx="9">
                  <c:v>299</c:v>
                </c:pt>
                <c:pt idx="10">
                  <c:v>358</c:v>
                </c:pt>
                <c:pt idx="11">
                  <c:v>324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4-4D1E-91C2-C68E17B36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915647"/>
        <c:axId val="2072916127"/>
      </c:lineChart>
      <c:dateAx>
        <c:axId val="2072915647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72916127"/>
        <c:crosses val="autoZero"/>
        <c:auto val="1"/>
        <c:lblOffset val="100"/>
        <c:baseTimeUnit val="months"/>
      </c:dateAx>
      <c:valAx>
        <c:axId val="207291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7291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109537</xdr:rowOff>
    </xdr:from>
    <xdr:to>
      <xdr:col>11</xdr:col>
      <xdr:colOff>142875</xdr:colOff>
      <xdr:row>13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8F18B-319B-D256-C5A3-AF5221FBD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128587</xdr:rowOff>
    </xdr:from>
    <xdr:to>
      <xdr:col>11</xdr:col>
      <xdr:colOff>361950</xdr:colOff>
      <xdr:row>14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521BD-5352-D361-CEF6-62E751695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176212</xdr:rowOff>
    </xdr:from>
    <xdr:to>
      <xdr:col>12</xdr:col>
      <xdr:colOff>9525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47DE2-E5C7-FAA5-C6AF-2C4D421BC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0</xdr:row>
      <xdr:rowOff>176212</xdr:rowOff>
    </xdr:from>
    <xdr:to>
      <xdr:col>11</xdr:col>
      <xdr:colOff>376237</xdr:colOff>
      <xdr:row>15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3AF81-BFC3-2ED4-828D-CF591613F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0</xdr:rowOff>
    </xdr:from>
    <xdr:to>
      <xdr:col>11</xdr:col>
      <xdr:colOff>438150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D615D-48FC-4186-8365-23BE6BBAE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119062</xdr:rowOff>
    </xdr:from>
    <xdr:to>
      <xdr:col>12</xdr:col>
      <xdr:colOff>304800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3BC56-199A-2B7D-273C-83FB6D0DB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176212</xdr:rowOff>
    </xdr:from>
    <xdr:to>
      <xdr:col>12</xdr:col>
      <xdr:colOff>428625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31FAC-004D-3CAC-975B-C0762FA3C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2</xdr:row>
      <xdr:rowOff>4762</xdr:rowOff>
    </xdr:from>
    <xdr:to>
      <xdr:col>19</xdr:col>
      <xdr:colOff>180975</xdr:colOff>
      <xdr:row>16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54B953-944E-EAA1-24FD-CD8B60196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2</xdr:row>
      <xdr:rowOff>4762</xdr:rowOff>
    </xdr:from>
    <xdr:to>
      <xdr:col>11</xdr:col>
      <xdr:colOff>400050</xdr:colOff>
      <xdr:row>16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7CD2E9-5879-8A91-974C-EBE0ED51E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</xdr:row>
      <xdr:rowOff>109537</xdr:rowOff>
    </xdr:from>
    <xdr:to>
      <xdr:col>12</xdr:col>
      <xdr:colOff>561975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53145-3DD7-B5BD-51A2-C12320F4B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109537</xdr:rowOff>
    </xdr:from>
    <xdr:to>
      <xdr:col>12</xdr:col>
      <xdr:colOff>304800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C2915-2536-1CAF-D1A9-31218ED4D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5</xdr:row>
      <xdr:rowOff>71437</xdr:rowOff>
    </xdr:from>
    <xdr:to>
      <xdr:col>13</xdr:col>
      <xdr:colOff>95250</xdr:colOff>
      <xdr:row>19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B639E-4304-CFF0-9E6E-2E44C85C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157162</xdr:rowOff>
    </xdr:from>
    <xdr:to>
      <xdr:col>12</xdr:col>
      <xdr:colOff>342900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68146-E6B2-852A-DE9B-C5F03FD32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499235300929" createdVersion="8" refreshedVersion="8" minRefreshableVersion="3" recordCount="91" xr:uid="{9556F1CF-3C1A-4078-AE92-0AA960FD07FC}">
  <cacheSource type="worksheet">
    <worksheetSource name="_WITH_first_purchase_AS_SELECT_customer_id_MIN_DATE_TRUNC_month__202602231145"/>
  </cacheSource>
  <cacheFields count="7">
    <cacheField name="cohort_month" numFmtId="22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6"/>
    </cacheField>
    <cacheField name="cohort_index" numFmtId="0">
      <sharedItems count="13">
        <s v="0.0"/>
        <s v="1.0"/>
        <s v="2.0"/>
        <s v="3.0"/>
        <s v="4.0"/>
        <s v="5.0"/>
        <s v="6.0"/>
        <s v="7.0"/>
        <s v="8.0"/>
        <s v="9.0"/>
        <s v="10.0"/>
        <s v="11.0"/>
        <s v="12.0"/>
      </sharedItems>
    </cacheField>
    <cacheField name="customers" numFmtId="0">
      <sharedItems containsSemiMixedTypes="0" containsString="0" containsNumber="1" containsInteger="1" minValue="21" maxValue="885"/>
    </cacheField>
    <cacheField name="retention_rate" numFmtId="0">
      <sharedItems containsSemiMixedTypes="0" containsString="0" containsNumber="1" minValue="6.8000000000000005E-2" maxValue="1"/>
    </cacheField>
    <cacheField name="Months (cohort_month)" numFmtId="0" databaseField="0">
      <fieldGroup base="0">
        <rangePr groupBy="months" startDate="2010-12-01T00:00:00" endDate="2011-12-02T00:00:00"/>
        <groupItems count="14">
          <s v="&lt;01.12.2010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2.12.2011"/>
        </groupItems>
      </fieldGroup>
    </cacheField>
    <cacheField name="Quarters (cohort_month)" numFmtId="0" databaseField="0">
      <fieldGroup base="0">
        <rangePr groupBy="quarters" startDate="2010-12-01T00:00:00" endDate="2011-12-02T00:00:00"/>
        <groupItems count="6">
          <s v="&lt;01.12.2010"/>
          <s v="Qtr1"/>
          <s v="Qtr2"/>
          <s v="Qtr3"/>
          <s v="Qtr4"/>
          <s v="&gt;02.12.2011"/>
        </groupItems>
      </fieldGroup>
    </cacheField>
    <cacheField name="Years (cohort_month)" numFmtId="0" databaseField="0">
      <fieldGroup base="0">
        <rangePr groupBy="years" startDate="2010-12-01T00:00:00" endDate="2011-12-02T00:00:00"/>
        <groupItems count="4">
          <s v="&lt;01.12.2010"/>
          <s v="2010"/>
          <s v="2011"/>
          <s v="&gt;02.12.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530332870374" createdVersion="8" refreshedVersion="8" minRefreshableVersion="3" recordCount="91" xr:uid="{347D7633-BC27-41AA-8FB6-733DB5FB73FF}">
  <cacheSource type="worksheet">
    <worksheetSource name="_WITH_first_purchase_AS_SELECT_customer_id_DATE_TRUNC_month_MIN__202602231242"/>
  </cacheSource>
  <cacheFields count="6">
    <cacheField name="cohort_month" numFmtId="22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5"/>
    </cacheField>
    <cacheField name="cohort_index" numFmtId="0">
      <sharedItems containsSemiMixedTypes="0" containsString="0" containsNumber="1" containsInteger="1" minValue="0" maxValue="12" count="13">
        <n v="0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tv_per_customer" numFmtId="0">
      <sharedItems containsSemiMixedTypes="0" containsString="0" containsNumber="1" minValue="391.71245212765899" maxValue="7008.8889830508397"/>
    </cacheField>
    <cacheField name="Months (cohort_month)" numFmtId="0" databaseField="0">
      <fieldGroup base="0">
        <rangePr groupBy="months" startDate="2010-12-01T00:00:00" endDate="2011-12-02T00:00:00"/>
        <groupItems count="14">
          <s v="&lt;01.12.2010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2.12.2011"/>
        </groupItems>
      </fieldGroup>
    </cacheField>
    <cacheField name="Quarters (cohort_month)" numFmtId="0" databaseField="0">
      <fieldGroup base="0">
        <rangePr groupBy="quarters" startDate="2010-12-01T00:00:00" endDate="2011-12-02T00:00:00"/>
        <groupItems count="6">
          <s v="&lt;01.12.2010"/>
          <s v="Qtr1"/>
          <s v="Qtr2"/>
          <s v="Qtr3"/>
          <s v="Qtr4"/>
          <s v="&gt;02.12.2011"/>
        </groupItems>
      </fieldGroup>
    </cacheField>
    <cacheField name="Years (cohort_month)" numFmtId="0" databaseField="0">
      <fieldGroup base="0">
        <rangePr groupBy="years" startDate="2010-12-01T00:00:00" endDate="2011-12-02T00:00:00"/>
        <groupItems count="4">
          <s v="&lt;01.12.2010"/>
          <s v="2010"/>
          <s v="2011"/>
          <s v="&gt;02.12.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x v="0"/>
    <n v="885"/>
    <n v="1"/>
  </r>
  <r>
    <x v="0"/>
    <x v="1"/>
    <n v="325"/>
    <n v="0.36699999999999999"/>
  </r>
  <r>
    <x v="0"/>
    <x v="2"/>
    <n v="287"/>
    <n v="0.32400000000000001"/>
  </r>
  <r>
    <x v="0"/>
    <x v="3"/>
    <n v="341"/>
    <n v="0.38500000000000001"/>
  </r>
  <r>
    <x v="0"/>
    <x v="4"/>
    <n v="322"/>
    <n v="0.36399999999999999"/>
  </r>
  <r>
    <x v="0"/>
    <x v="5"/>
    <n v="353"/>
    <n v="0.39900000000000002"/>
  </r>
  <r>
    <x v="0"/>
    <x v="6"/>
    <n v="322"/>
    <n v="0.36399999999999999"/>
  </r>
  <r>
    <x v="0"/>
    <x v="7"/>
    <n v="310"/>
    <n v="0.35"/>
  </r>
  <r>
    <x v="0"/>
    <x v="8"/>
    <n v="313"/>
    <n v="0.35399999999999998"/>
  </r>
  <r>
    <x v="0"/>
    <x v="9"/>
    <n v="351"/>
    <n v="0.39700000000000002"/>
  </r>
  <r>
    <x v="0"/>
    <x v="10"/>
    <n v="332"/>
    <n v="0.375"/>
  </r>
  <r>
    <x v="0"/>
    <x v="11"/>
    <n v="446"/>
    <n v="0.504"/>
  </r>
  <r>
    <x v="0"/>
    <x v="12"/>
    <n v="236"/>
    <n v="0.26700000000000002"/>
  </r>
  <r>
    <x v="1"/>
    <x v="0"/>
    <n v="417"/>
    <n v="1"/>
  </r>
  <r>
    <x v="1"/>
    <x v="1"/>
    <n v="92"/>
    <n v="0.221"/>
  </r>
  <r>
    <x v="1"/>
    <x v="2"/>
    <n v="111"/>
    <n v="0.26600000000000001"/>
  </r>
  <r>
    <x v="1"/>
    <x v="3"/>
    <n v="96"/>
    <n v="0.23"/>
  </r>
  <r>
    <x v="1"/>
    <x v="4"/>
    <n v="134"/>
    <n v="0.32100000000000001"/>
  </r>
  <r>
    <x v="1"/>
    <x v="5"/>
    <n v="120"/>
    <n v="0.28799999999999998"/>
  </r>
  <r>
    <x v="1"/>
    <x v="6"/>
    <n v="103"/>
    <n v="0.247"/>
  </r>
  <r>
    <x v="1"/>
    <x v="7"/>
    <n v="101"/>
    <n v="0.24199999999999999"/>
  </r>
  <r>
    <x v="1"/>
    <x v="8"/>
    <n v="125"/>
    <n v="0.3"/>
  </r>
  <r>
    <x v="1"/>
    <x v="9"/>
    <n v="136"/>
    <n v="0.32600000000000001"/>
  </r>
  <r>
    <x v="1"/>
    <x v="10"/>
    <n v="152"/>
    <n v="0.36499999999999999"/>
  </r>
  <r>
    <x v="1"/>
    <x v="11"/>
    <n v="49"/>
    <n v="0.11799999999999999"/>
  </r>
  <r>
    <x v="2"/>
    <x v="0"/>
    <n v="380"/>
    <n v="1"/>
  </r>
  <r>
    <x v="2"/>
    <x v="1"/>
    <n v="71"/>
    <n v="0.187"/>
  </r>
  <r>
    <x v="2"/>
    <x v="2"/>
    <n v="71"/>
    <n v="0.187"/>
  </r>
  <r>
    <x v="2"/>
    <x v="3"/>
    <n v="108"/>
    <n v="0.28399999999999997"/>
  </r>
  <r>
    <x v="2"/>
    <x v="4"/>
    <n v="103"/>
    <n v="0.27100000000000002"/>
  </r>
  <r>
    <x v="2"/>
    <x v="5"/>
    <n v="94"/>
    <n v="0.247"/>
  </r>
  <r>
    <x v="2"/>
    <x v="6"/>
    <n v="96"/>
    <n v="0.253"/>
  </r>
  <r>
    <x v="2"/>
    <x v="7"/>
    <n v="106"/>
    <n v="0.27900000000000003"/>
  </r>
  <r>
    <x v="2"/>
    <x v="8"/>
    <n v="94"/>
    <n v="0.247"/>
  </r>
  <r>
    <x v="2"/>
    <x v="9"/>
    <n v="116"/>
    <n v="0.30499999999999999"/>
  </r>
  <r>
    <x v="2"/>
    <x v="10"/>
    <n v="26"/>
    <n v="6.8000000000000005E-2"/>
  </r>
  <r>
    <x v="3"/>
    <x v="0"/>
    <n v="451"/>
    <n v="1"/>
  </r>
  <r>
    <x v="3"/>
    <x v="1"/>
    <n v="68"/>
    <n v="0.151"/>
  </r>
  <r>
    <x v="3"/>
    <x v="2"/>
    <n v="114"/>
    <n v="0.253"/>
  </r>
  <r>
    <x v="3"/>
    <x v="3"/>
    <n v="90"/>
    <n v="0.2"/>
  </r>
  <r>
    <x v="3"/>
    <x v="4"/>
    <n v="101"/>
    <n v="0.224"/>
  </r>
  <r>
    <x v="3"/>
    <x v="5"/>
    <n v="76"/>
    <n v="0.16900000000000001"/>
  </r>
  <r>
    <x v="3"/>
    <x v="6"/>
    <n v="120"/>
    <n v="0.26600000000000001"/>
  </r>
  <r>
    <x v="3"/>
    <x v="7"/>
    <n v="104"/>
    <n v="0.23100000000000001"/>
  </r>
  <r>
    <x v="3"/>
    <x v="8"/>
    <n v="126"/>
    <n v="0.27900000000000003"/>
  </r>
  <r>
    <x v="3"/>
    <x v="9"/>
    <n v="38"/>
    <n v="8.4000000000000005E-2"/>
  </r>
  <r>
    <x v="4"/>
    <x v="0"/>
    <n v="300"/>
    <n v="1"/>
  </r>
  <r>
    <x v="4"/>
    <x v="1"/>
    <n v="64"/>
    <n v="0.21299999999999999"/>
  </r>
  <r>
    <x v="4"/>
    <x v="2"/>
    <n v="61"/>
    <n v="0.20300000000000001"/>
  </r>
  <r>
    <x v="4"/>
    <x v="3"/>
    <n v="63"/>
    <n v="0.21"/>
  </r>
  <r>
    <x v="4"/>
    <x v="4"/>
    <n v="59"/>
    <n v="0.19700000000000001"/>
  </r>
  <r>
    <x v="4"/>
    <x v="5"/>
    <n v="68"/>
    <n v="0.22700000000000001"/>
  </r>
  <r>
    <x v="4"/>
    <x v="6"/>
    <n v="65"/>
    <n v="0.217"/>
  </r>
  <r>
    <x v="4"/>
    <x v="7"/>
    <n v="78"/>
    <n v="0.26"/>
  </r>
  <r>
    <x v="4"/>
    <x v="8"/>
    <n v="22"/>
    <n v="7.2999999999999995E-2"/>
  </r>
  <r>
    <x v="5"/>
    <x v="0"/>
    <n v="284"/>
    <n v="1"/>
  </r>
  <r>
    <x v="5"/>
    <x v="1"/>
    <n v="54"/>
    <n v="0.19"/>
  </r>
  <r>
    <x v="5"/>
    <x v="2"/>
    <n v="49"/>
    <n v="0.17299999999999999"/>
  </r>
  <r>
    <x v="5"/>
    <x v="3"/>
    <n v="49"/>
    <n v="0.17299999999999999"/>
  </r>
  <r>
    <x v="5"/>
    <x v="4"/>
    <n v="59"/>
    <n v="0.20799999999999999"/>
  </r>
  <r>
    <x v="5"/>
    <x v="5"/>
    <n v="66"/>
    <n v="0.23200000000000001"/>
  </r>
  <r>
    <x v="5"/>
    <x v="6"/>
    <n v="75"/>
    <n v="0.26400000000000001"/>
  </r>
  <r>
    <x v="5"/>
    <x v="7"/>
    <n v="26"/>
    <n v="9.1999999999999998E-2"/>
  </r>
  <r>
    <x v="6"/>
    <x v="0"/>
    <n v="242"/>
    <n v="1"/>
  </r>
  <r>
    <x v="6"/>
    <x v="1"/>
    <n v="42"/>
    <n v="0.17399999999999999"/>
  </r>
  <r>
    <x v="6"/>
    <x v="2"/>
    <n v="38"/>
    <n v="0.157"/>
  </r>
  <r>
    <x v="6"/>
    <x v="3"/>
    <n v="64"/>
    <n v="0.26400000000000001"/>
  </r>
  <r>
    <x v="6"/>
    <x v="4"/>
    <n v="56"/>
    <n v="0.23100000000000001"/>
  </r>
  <r>
    <x v="6"/>
    <x v="5"/>
    <n v="81"/>
    <n v="0.33500000000000002"/>
  </r>
  <r>
    <x v="6"/>
    <x v="6"/>
    <n v="23"/>
    <n v="9.5000000000000001E-2"/>
  </r>
  <r>
    <x v="7"/>
    <x v="0"/>
    <n v="188"/>
    <n v="1"/>
  </r>
  <r>
    <x v="7"/>
    <x v="1"/>
    <n v="34"/>
    <n v="0.18099999999999999"/>
  </r>
  <r>
    <x v="7"/>
    <x v="2"/>
    <n v="39"/>
    <n v="0.20699999999999999"/>
  </r>
  <r>
    <x v="7"/>
    <x v="3"/>
    <n v="42"/>
    <n v="0.223"/>
  </r>
  <r>
    <x v="7"/>
    <x v="4"/>
    <n v="51"/>
    <n v="0.27100000000000002"/>
  </r>
  <r>
    <x v="7"/>
    <x v="5"/>
    <n v="21"/>
    <n v="0.112"/>
  </r>
  <r>
    <x v="8"/>
    <x v="0"/>
    <n v="169"/>
    <n v="1"/>
  </r>
  <r>
    <x v="8"/>
    <x v="1"/>
    <n v="35"/>
    <n v="0.20699999999999999"/>
  </r>
  <r>
    <x v="8"/>
    <x v="2"/>
    <n v="42"/>
    <n v="0.249"/>
  </r>
  <r>
    <x v="8"/>
    <x v="3"/>
    <n v="41"/>
    <n v="0.24299999999999999"/>
  </r>
  <r>
    <x v="8"/>
    <x v="4"/>
    <n v="21"/>
    <n v="0.124"/>
  </r>
  <r>
    <x v="9"/>
    <x v="0"/>
    <n v="299"/>
    <n v="1"/>
  </r>
  <r>
    <x v="9"/>
    <x v="1"/>
    <n v="70"/>
    <n v="0.23400000000000001"/>
  </r>
  <r>
    <x v="9"/>
    <x v="2"/>
    <n v="90"/>
    <n v="0.30099999999999999"/>
  </r>
  <r>
    <x v="9"/>
    <x v="3"/>
    <n v="34"/>
    <n v="0.114"/>
  </r>
  <r>
    <x v="10"/>
    <x v="0"/>
    <n v="358"/>
    <n v="1"/>
  </r>
  <r>
    <x v="10"/>
    <x v="1"/>
    <n v="86"/>
    <n v="0.24"/>
  </r>
  <r>
    <x v="10"/>
    <x v="2"/>
    <n v="41"/>
    <n v="0.115"/>
  </r>
  <r>
    <x v="11"/>
    <x v="0"/>
    <n v="324"/>
    <n v="1"/>
  </r>
  <r>
    <x v="11"/>
    <x v="1"/>
    <n v="36"/>
    <n v="0.111"/>
  </r>
  <r>
    <x v="12"/>
    <x v="0"/>
    <n v="4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x v="0"/>
    <n v="923.74767231638396"/>
  </r>
  <r>
    <x v="0"/>
    <x v="1"/>
    <n v="1368.41942372881"/>
  </r>
  <r>
    <x v="0"/>
    <x v="2"/>
    <n v="1714.9074350282399"/>
  </r>
  <r>
    <x v="0"/>
    <x v="3"/>
    <n v="2192.16298305084"/>
  </r>
  <r>
    <x v="0"/>
    <x v="4"/>
    <n v="2498.03757062146"/>
  </r>
  <r>
    <x v="0"/>
    <x v="5"/>
    <n v="2978.4534689265502"/>
  </r>
  <r>
    <x v="0"/>
    <x v="6"/>
    <n v="3443.2537401129898"/>
  </r>
  <r>
    <x v="0"/>
    <x v="7"/>
    <n v="3926.2651638418001"/>
  </r>
  <r>
    <x v="0"/>
    <x v="8"/>
    <n v="4402.3220225988698"/>
  </r>
  <r>
    <x v="0"/>
    <x v="9"/>
    <n v="5051.8081468926503"/>
  </r>
  <r>
    <x v="0"/>
    <x v="10"/>
    <n v="5695.1774689265503"/>
  </r>
  <r>
    <x v="0"/>
    <x v="11"/>
    <n v="6664.7658531073403"/>
  </r>
  <r>
    <x v="0"/>
    <x v="12"/>
    <n v="7008.8889830508397"/>
  </r>
  <r>
    <x v="1"/>
    <x v="0"/>
    <n v="698.61354916067103"/>
  </r>
  <r>
    <x v="1"/>
    <x v="1"/>
    <n v="829.05069544364505"/>
  </r>
  <r>
    <x v="1"/>
    <x v="2"/>
    <n v="978.77498800959199"/>
  </r>
  <r>
    <x v="1"/>
    <x v="3"/>
    <n v="1148.4247961630599"/>
  </r>
  <r>
    <x v="1"/>
    <x v="4"/>
    <n v="1339.7775539568299"/>
  </r>
  <r>
    <x v="1"/>
    <x v="5"/>
    <n v="1541.5819424460401"/>
  </r>
  <r>
    <x v="1"/>
    <x v="6"/>
    <n v="1708.3077218225401"/>
  </r>
  <r>
    <x v="1"/>
    <x v="7"/>
    <n v="1882.3179376498799"/>
  </r>
  <r>
    <x v="1"/>
    <x v="8"/>
    <n v="2053.2758776978399"/>
  </r>
  <r>
    <x v="1"/>
    <x v="9"/>
    <n v="2320.6600983213398"/>
  </r>
  <r>
    <x v="1"/>
    <x v="10"/>
    <n v="2616.3493069544302"/>
  </r>
  <r>
    <x v="1"/>
    <x v="11"/>
    <n v="2679.6425923261299"/>
  </r>
  <r>
    <x v="2"/>
    <x v="0"/>
    <n v="413.48307894736803"/>
  </r>
  <r>
    <x v="2"/>
    <x v="1"/>
    <n v="489.49239473684202"/>
  </r>
  <r>
    <x v="2"/>
    <x v="2"/>
    <n v="596.763763157894"/>
  </r>
  <r>
    <x v="2"/>
    <x v="3"/>
    <n v="722.96781578947298"/>
  </r>
  <r>
    <x v="2"/>
    <x v="4"/>
    <n v="827.96602631578901"/>
  </r>
  <r>
    <x v="2"/>
    <x v="5"/>
    <n v="916.91102631578894"/>
  </r>
  <r>
    <x v="2"/>
    <x v="6"/>
    <n v="1047.41286842105"/>
  </r>
  <r>
    <x v="2"/>
    <x v="7"/>
    <n v="1211.3417368421001"/>
  </r>
  <r>
    <x v="2"/>
    <x v="8"/>
    <n v="1356.6547105263101"/>
  </r>
  <r>
    <x v="2"/>
    <x v="9"/>
    <n v="1526.7941842105199"/>
  </r>
  <r>
    <x v="2"/>
    <x v="10"/>
    <n v="1554.64844736842"/>
  </r>
  <r>
    <x v="3"/>
    <x v="0"/>
    <n v="440.54833702882399"/>
  </r>
  <r>
    <x v="3"/>
    <x v="1"/>
    <n v="506.531973392461"/>
  </r>
  <r>
    <x v="3"/>
    <x v="2"/>
    <n v="636.94461197339206"/>
  </r>
  <r>
    <x v="3"/>
    <x v="3"/>
    <n v="731.41962305986601"/>
  </r>
  <r>
    <x v="3"/>
    <x v="4"/>
    <n v="845.71206208425701"/>
  </r>
  <r>
    <x v="3"/>
    <x v="5"/>
    <n v="933.70815964523194"/>
  </r>
  <r>
    <x v="3"/>
    <x v="6"/>
    <n v="1076.9399778270499"/>
  </r>
  <r>
    <x v="3"/>
    <x v="7"/>
    <n v="1233.69541019955"/>
  </r>
  <r>
    <x v="3"/>
    <x v="8"/>
    <n v="1391.43722838137"/>
  </r>
  <r>
    <x v="3"/>
    <x v="9"/>
    <n v="1419.5551219512099"/>
  </r>
  <r>
    <x v="4"/>
    <x v="0"/>
    <n v="403.12207000000001"/>
  </r>
  <r>
    <x v="4"/>
    <x v="1"/>
    <n v="500.79183666666597"/>
  </r>
  <r>
    <x v="4"/>
    <x v="2"/>
    <n v="583.701136666666"/>
  </r>
  <r>
    <x v="4"/>
    <x v="3"/>
    <n v="664.48580333333302"/>
  </r>
  <r>
    <x v="4"/>
    <x v="4"/>
    <n v="752.056103333333"/>
  </r>
  <r>
    <x v="4"/>
    <x v="5"/>
    <n v="852.27850333333299"/>
  </r>
  <r>
    <x v="4"/>
    <x v="6"/>
    <n v="946.965503333333"/>
  </r>
  <r>
    <x v="4"/>
    <x v="7"/>
    <n v="1060.2686366666601"/>
  </r>
  <r>
    <x v="4"/>
    <x v="8"/>
    <n v="1081.33433666666"/>
  </r>
  <r>
    <x v="5"/>
    <x v="0"/>
    <n v="435.33073943661901"/>
  </r>
  <r>
    <x v="5"/>
    <x v="1"/>
    <n v="500.98735915492898"/>
  </r>
  <r>
    <x v="5"/>
    <x v="2"/>
    <n v="570.13781690140797"/>
  </r>
  <r>
    <x v="5"/>
    <x v="3"/>
    <n v="637.27454225352096"/>
  </r>
  <r>
    <x v="5"/>
    <x v="4"/>
    <n v="735.17049295774598"/>
  </r>
  <r>
    <x v="5"/>
    <x v="5"/>
    <n v="851.15253521126704"/>
  </r>
  <r>
    <x v="5"/>
    <x v="6"/>
    <n v="968.20080985915399"/>
  </r>
  <r>
    <x v="5"/>
    <x v="7"/>
    <n v="1006.04323943661"/>
  </r>
  <r>
    <x v="6"/>
    <x v="0"/>
    <n v="558.42508264462799"/>
  </r>
  <r>
    <x v="6"/>
    <x v="1"/>
    <n v="619.08842975206596"/>
  </r>
  <r>
    <x v="6"/>
    <x v="2"/>
    <n v="677.266694214876"/>
  </r>
  <r>
    <x v="6"/>
    <x v="3"/>
    <n v="804.632190082644"/>
  </r>
  <r>
    <x v="6"/>
    <x v="4"/>
    <n v="915.04495867768503"/>
  </r>
  <r>
    <x v="6"/>
    <x v="5"/>
    <n v="1091.44702479338"/>
  </r>
  <r>
    <x v="6"/>
    <x v="6"/>
    <n v="1125.3439256198301"/>
  </r>
  <r>
    <x v="7"/>
    <x v="0"/>
    <n v="391.71245212765899"/>
  </r>
  <r>
    <x v="7"/>
    <x v="1"/>
    <n v="453.55569680850999"/>
  </r>
  <r>
    <x v="7"/>
    <x v="2"/>
    <n v="535.35649468085103"/>
  </r>
  <r>
    <x v="7"/>
    <x v="3"/>
    <n v="627.44362234042501"/>
  </r>
  <r>
    <x v="7"/>
    <x v="4"/>
    <n v="731.02096276595705"/>
  </r>
  <r>
    <x v="7"/>
    <x v="5"/>
    <n v="763.28442021276499"/>
  </r>
  <r>
    <x v="8"/>
    <x v="0"/>
    <n v="467.54875739644899"/>
  </r>
  <r>
    <x v="8"/>
    <x v="1"/>
    <n v="590.84414201183404"/>
  </r>
  <r>
    <x v="8"/>
    <x v="2"/>
    <n v="799.45958579881597"/>
  </r>
  <r>
    <x v="8"/>
    <x v="3"/>
    <n v="1061.31840236686"/>
  </r>
  <r>
    <x v="8"/>
    <x v="4"/>
    <n v="1150.9936094674499"/>
  </r>
  <r>
    <x v="9"/>
    <x v="0"/>
    <n v="517.81364882943103"/>
  </r>
  <r>
    <x v="9"/>
    <x v="1"/>
    <n v="614.099434782608"/>
  </r>
  <r>
    <x v="9"/>
    <x v="2"/>
    <n v="737.54120735785898"/>
  </r>
  <r>
    <x v="9"/>
    <x v="3"/>
    <n v="778.62568896321"/>
  </r>
  <r>
    <x v="10"/>
    <x v="0"/>
    <n v="486.256675977653"/>
  </r>
  <r>
    <x v="10"/>
    <x v="1"/>
    <n v="597.05189944133997"/>
  </r>
  <r>
    <x v="10"/>
    <x v="2"/>
    <n v="632.077877094972"/>
  </r>
  <r>
    <x v="11"/>
    <x v="0"/>
    <n v="419.44975308641898"/>
  </r>
  <r>
    <x v="11"/>
    <x v="1"/>
    <n v="466.32820987654299"/>
  </r>
  <r>
    <x v="12"/>
    <x v="0"/>
    <n v="657.18756097560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28358-4BCF-4920-87E6-C20769A2856F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N17" firstHeaderRow="1" firstDataRow="2" firstDataCol="1"/>
  <pivotFields count="7">
    <pivotField axis="axisRow" numFmtId="2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14">
        <item x="0"/>
        <item x="1"/>
        <item x="10"/>
        <item x="11"/>
        <item x="12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Retention Rate" fld="3" subtotal="average" baseField="0" baseItem="0" numFmtId="164"/>
  </dataFields>
  <formats count="4">
    <format dxfId="30">
      <pivotArea dataOnly="0" labelOnly="1" fieldPosition="0">
        <references count="1">
          <reference field="0" count="0"/>
        </references>
      </pivotArea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3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8100A-16B9-4F52-88D5-66533A495AA7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N17" firstHeaderRow="1" firstDataRow="2" firstDataCol="1"/>
  <pivotFields count="6">
    <pivotField axis="axisRow" numFmtId="2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Cohort LTV per Customer" fld="2" subtotal="average" baseField="0" baseItem="0" numFmtId="166"/>
  </dataFields>
  <formats count="1">
    <format dxfId="6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3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BA67307-F124-45DE-B55C-05D0F8A1973A}" autoFormatId="16" applyNumberFormats="0" applyBorderFormats="0" applyFontFormats="0" applyPatternFormats="0" applyAlignmentFormats="0" applyWidthHeightFormats="0">
  <queryTableRefresh nextId="3">
    <queryTableFields count="2">
      <queryTableField id="1" name="cohort_month" tableColumnId="1"/>
      <queryTableField id="2" name="cohort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7EBF49-0E26-4BF4-9A6C-73931ADD8436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monthly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A8345B5-E57B-4BA7-8C17-20AF7889F7C2}" autoFormatId="16" applyNumberFormats="0" applyBorderFormats="0" applyFontFormats="0" applyPatternFormats="0" applyAlignmentFormats="0" applyWidthHeightFormats="0">
  <queryTableRefresh nextId="3">
    <queryTableFields count="2">
      <queryTableField id="1" name="cohort_month" tableColumnId="1"/>
      <queryTableField id="2" name="revenue_per_custom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8F2B61EF-9500-4140-A219-F8B3117022A7}" autoFormatId="16" applyNumberFormats="0" applyBorderFormats="0" applyFontFormats="0" applyPatternFormats="0" applyAlignmentFormats="0" applyWidthHeightFormats="0">
  <queryTableRefresh nextId="3">
    <queryTableFields count="2">
      <queryTableField id="1" name="cohort_month" tableColumnId="1"/>
      <queryTableField id="2" name="ltv_month_3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12546D9-0C08-4C87-AA93-679288F3B72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590B942-35E2-46D0-801A-C92E36A5361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907D21C-5AC9-4417-9F83-E550DD5A8511}" autoFormatId="16" applyNumberFormats="0" applyBorderFormats="0" applyFontFormats="0" applyPatternFormats="0" applyAlignmentFormats="0" applyWidthHeightFormats="0">
  <queryTableRefresh nextId="3">
    <queryTableFields count="2">
      <queryTableField id="1" name="order_bucket" tableColumnId="1"/>
      <queryTableField id="2" name="customer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C101BE3-632A-43C8-9A21-F86DF942E471}" autoFormatId="16" applyNumberFormats="0" applyBorderFormats="0" applyFontFormats="0" applyPatternFormats="0" applyAlignmentFormats="0" applyWidthHeightFormats="0">
  <queryTableRefresh nextId="5">
    <queryTableFields count="3">
      <queryTableField id="1" name="segment" tableColumnId="1"/>
      <queryTableField id="2" name="customers" tableColumnId="2"/>
      <queryTableField id="3" name="total_revenu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29B4E8DA-420D-4859-8E97-138EFC6AC72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702C1F-5970-45AD-A47A-7F2795042AE8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monthly_active_customer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2582E9B-F534-4AC9-A4BF-15C4FC2D2D68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venue" tableColumnId="2"/>
      <queryTableField id="3" name="active_customers" tableColumnId="3"/>
      <queryTableField id="4" name="revenue_per_active_customer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A89049D7-E0A1-4838-B352-13AFC7B5C0C7}" autoFormatId="16" applyNumberFormats="0" applyBorderFormats="0" applyFontFormats="0" applyPatternFormats="0" applyAlignmentFormats="0" applyWidthHeightFormats="0">
  <queryTableRefresh nextId="3">
    <queryTableFields count="2">
      <queryTableField id="1" name="cohort_month" tableColumnId="1"/>
      <queryTableField id="2" name="cohort_siz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7D39D84-1954-40CE-9240-F901B07E360C}" autoFormatId="16" applyNumberFormats="0" applyBorderFormats="0" applyFontFormats="0" applyPatternFormats="0" applyAlignmentFormats="0" applyWidthHeightFormats="0">
  <queryTableRefresh nextId="4">
    <queryTableFields count="3">
      <queryTableField id="1" name="cohort_month" tableColumnId="1"/>
      <queryTableField id="2" name="cohort_index" tableColumnId="2"/>
      <queryTableField id="3" name="ltv_per_customer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32E6B17F-4F15-4C2E-A430-002D195B6797}" autoFormatId="16" applyNumberFormats="0" applyBorderFormats="0" applyFontFormats="0" applyPatternFormats="0" applyAlignmentFormats="0" applyWidthHeightFormats="0">
  <queryTableRefresh nextId="5">
    <queryTableFields count="4">
      <queryTableField id="1" name="cohort_month" tableColumnId="1"/>
      <queryTableField id="2" name="cohort_index" tableColumnId="2"/>
      <queryTableField id="3" name="customers" tableColumnId="3"/>
      <queryTableField id="4" name="retention_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C1C3C-D39E-4424-B5DA-FD7CBAA0C6BF}" name="_WITH_first_purchase_AS_SELECT_customer_id_DATE_TRUNC_month_MIN__202602231459" displayName="_WITH_first_purchase_AS_SELECT_customer_id_DATE_TRUNC_month_MIN__202602231459" ref="A1:B13" tableType="queryTable" totalsRowShown="0">
  <autoFilter ref="A1:B13" xr:uid="{89CC1C3C-D39E-4424-B5DA-FD7CBAA0C6BF}"/>
  <tableColumns count="2">
    <tableColumn id="1" xr3:uid="{14131136-D206-46BD-BA67-94AC90BC54A3}" uniqueName="1" name="cohort_month" queryTableFieldId="1" dataDxfId="26"/>
    <tableColumn id="2" xr3:uid="{6B7334AE-F7FE-48B8-AA34-BAEFB5490709}" uniqueName="2" name="cohort_revenue" queryTableFieldId="2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1C43EC-5DCF-47C5-AA73-B1A193DECC51}" name="_SELECT_DATE_TRUNC_month_invoice_date_AS_month_SUM_quantity_unit_202602231448" displayName="_SELECT_DATE_TRUNC_month_invoice_date_AS_month_SUM_quantity_unit_202602231448" ref="A1:B13" tableType="queryTable" totalsRowShown="0">
  <autoFilter ref="A1:B13" xr:uid="{201C43EC-5DCF-47C5-AA73-B1A193DECC51}"/>
  <tableColumns count="2">
    <tableColumn id="1" xr3:uid="{CEC4E329-560C-4018-8A93-E25DB37201D6}" uniqueName="1" name="month" queryTableFieldId="1" dataDxfId="32"/>
    <tableColumn id="2" xr3:uid="{2DCF6A53-3D61-4D1D-818A-960A1EEC557E}" uniqueName="2" name="monthly_revenue" queryTableFieldId="2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7D4C3B-CB4A-4294-BA91-A6A8CC8D2425}" name="_WITH_first_purchase_AS_SELECT_customer_id_DATE_TRUNC_month_MIN__202602231527" displayName="_WITH_first_purchase_AS_SELECT_customer_id_DATE_TRUNC_month_MIN__202602231527" ref="A1:B14" tableType="queryTable" totalsRowShown="0">
  <autoFilter ref="A1:B14" xr:uid="{647D4C3B-CB4A-4294-BA91-A6A8CC8D2425}"/>
  <tableColumns count="2">
    <tableColumn id="1" xr3:uid="{FB95E940-7EC4-4D8F-903A-F746B6D3BA8D}" uniqueName="1" name="cohort_month" queryTableFieldId="1" dataDxfId="24"/>
    <tableColumn id="2" xr3:uid="{B4180132-49CC-4C7F-B5AB-B2D870E150DD}" uniqueName="2" name="revenue_per_customer" queryTableFieldId="2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D03EAC-7754-427F-8508-CAC31257684A}" name="ltv_by_month_202602231550" displayName="ltv_by_month_202602231550" ref="A1:B11" tableType="queryTable" totalsRowShown="0">
  <autoFilter ref="A1:B11" xr:uid="{07D03EAC-7754-427F-8508-CAC31257684A}"/>
  <tableColumns count="2">
    <tableColumn id="1" xr3:uid="{CF4B8F9D-5809-4AB6-958D-010EDE7786C3}" uniqueName="1" name="cohort_month" queryTableFieldId="1" dataDxfId="22"/>
    <tableColumn id="2" xr3:uid="{30AAC2F9-2FF9-4AA0-B03C-7511D16E4994}" uniqueName="2" name="ltv_month_3" queryTableFieldId="2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7AC558-9C46-4C08-9B52-DF5BAD57E5C5}" name="_WITH_first_purchase_AS_SELECT_customer_id_DATE_TRUNC_month_MIN__202602231727" displayName="_WITH_first_purchase_AS_SELECT_customer_id_DATE_TRUNC_month_MIN__202602231727" ref="A1:B4" tableType="queryTable" totalsRowShown="0">
  <autoFilter ref="A1:B4" xr:uid="{CB7AC558-9C46-4C08-9B52-DF5BAD57E5C5}"/>
  <tableColumns count="2">
    <tableColumn id="1" xr3:uid="{C3635D68-9262-4ECF-9DDF-37D0C3F379B7}" uniqueName="1" name="cohort_index" queryTableFieldId="1" dataDxfId="20"/>
    <tableColumn id="2" xr3:uid="{141F367A-C954-40BF-8004-A8C99F554524}" uniqueName="2" name="avg_retention" queryTableFieldId="2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6D4347-08F5-48BE-8191-9CE82390B06F}" name="_WITH_customer_orders_AS_SELECT_customer_id_COUNT_DISTINCT_invoi_202602231802" displayName="_WITH_customer_orders_AS_SELECT_customer_id_COUNT_DISTINCT_invoi_202602231802" ref="A1:B4" tableType="queryTable" totalsRowShown="0">
  <autoFilter ref="A1:B4" xr:uid="{A36D4347-08F5-48BE-8191-9CE82390B06F}"/>
  <tableColumns count="2">
    <tableColumn id="1" xr3:uid="{E9FEAE28-AFC5-460A-BF81-56849D9203E3}" uniqueName="1" name="Column1" queryTableFieldId="1" dataDxfId="18"/>
    <tableColumn id="2" xr3:uid="{2B4F4A6B-FB9A-4424-A96A-1983C8B7A70C}" uniqueName="2" name="Column2" queryTableFieldId="2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57410B-C3BB-4A26-9A10-A00F363F7DCE}" name="_WITH_customer_orders_AS_SELECT_customer_id_COUNT_DISTINCT_invoi_202602231835" displayName="_WITH_customer_orders_AS_SELECT_customer_id_COUNT_DISTINCT_invoi_202602231835" ref="A1:B6" tableType="queryTable" totalsRowShown="0">
  <autoFilter ref="A1:B6" xr:uid="{6957410B-C3BB-4A26-9A10-A00F363F7DCE}"/>
  <tableColumns count="2">
    <tableColumn id="1" xr3:uid="{D76DC951-9CBB-4F43-B478-3AA399868500}" uniqueName="1" name="order_bucket" queryTableFieldId="1" dataDxfId="16"/>
    <tableColumn id="2" xr3:uid="{D7F80889-9120-4F67-A4E0-D9FE8617590C}" uniqueName="2" name="customers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F79F54-664A-4984-A3E0-6018656AD7A9}" name="_WITH_base_AS_SELECT_customer_id_MAX_invoice_date_AS_last_purcha_202602231958" displayName="_WITH_base_AS_SELECT_customer_id_MAX_invoice_date_AS_last_purcha_202602231958" ref="A1:C6" tableType="queryTable" totalsRowShown="0">
  <autoFilter ref="A1:C6" xr:uid="{00F79F54-664A-4984-A3E0-6018656AD7A9}"/>
  <tableColumns count="3">
    <tableColumn id="1" xr3:uid="{42CEAFA9-BEAD-41E2-986B-940FD35281B9}" uniqueName="1" name="segment" queryTableFieldId="1" dataDxfId="15"/>
    <tableColumn id="2" xr3:uid="{2942A2B7-BC1D-45FD-8ED4-DE9279288E2F}" uniqueName="2" name="customers" queryTableFieldId="2"/>
    <tableColumn id="3" xr3:uid="{19AD729F-FD78-4055-ACB6-7F11C4EF0732}" uniqueName="3" name="total_revenue" queryTableFieldId="3" dataDxf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749CFBF-6F9F-40C6-A1D9-4B70C73A6C90}" name="_WITH_first_purchase_AS_SELECT_customer_id_DATE_TRUNC_month_MIN__202602232112" displayName="_WITH_first_purchase_AS_SELECT_customer_id_DATE_TRUNC_month_MIN__202602232112" ref="A1:B7" tableType="queryTable" totalsRowShown="0">
  <autoFilter ref="A1:B7" xr:uid="{9749CFBF-6F9F-40C6-A1D9-4B70C73A6C90}"/>
  <tableColumns count="2">
    <tableColumn id="1" xr3:uid="{ED1C2D91-9F2A-4D19-899E-BEE55CF34216}" uniqueName="1" name="cohort_index" queryTableFieldId="1" dataDxfId="13"/>
    <tableColumn id="2" xr3:uid="{EDD7EC2E-58D3-4AE1-8239-72847C57571F}" uniqueName="2" name="avg_retention" queryTableFieldId="2" dataDxf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6664683-3452-4F0B-9534-76BCBBD6FDFE}" name="_SELECT_DATE_TRUNC_month_invoice_date_AS_month_COUNT_DISTINCT_cu_202602240956" displayName="_SELECT_DATE_TRUNC_month_invoice_date_AS_month_COUNT_DISTINCT_cu_202602240956" ref="A1:B14" tableType="queryTable" totalsRowShown="0">
  <autoFilter ref="A1:B14" xr:uid="{E6664683-3452-4F0B-9534-76BCBBD6FDFE}"/>
  <tableColumns count="2">
    <tableColumn id="1" xr3:uid="{4F42854E-CDA3-48C2-8CEC-F97FE4617347}" uniqueName="1" name="month" queryTableFieldId="1" dataDxfId="11"/>
    <tableColumn id="2" xr3:uid="{2AB07499-091D-4B60-B938-05460ADD92EA}" uniqueName="2" name="monthly_active_customers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35C080-5441-4D1E-A34F-D74510AE35A7}" name="_SELECT_DATE_TRUNC_month_invoice_date_AS_month_SUM_quantity_unit_202602240959" displayName="_SELECT_DATE_TRUNC_month_invoice_date_AS_month_SUM_quantity_unit_202602240959" ref="A1:D14" tableType="queryTable" totalsRowShown="0">
  <autoFilter ref="A1:D14" xr:uid="{D735C080-5441-4D1E-A34F-D74510AE35A7}"/>
  <tableColumns count="4">
    <tableColumn id="1" xr3:uid="{BCEC85AC-8911-47DC-B63F-B1CC10DB4D5C}" uniqueName="1" name="month" queryTableFieldId="1" dataDxfId="10"/>
    <tableColumn id="2" xr3:uid="{156D048E-769A-4F9B-A711-05A1DE63012A}" uniqueName="2" name="revenue" queryTableFieldId="2" dataDxfId="9"/>
    <tableColumn id="3" xr3:uid="{A7FB90F8-FA73-415C-B2BC-D1626274D579}" uniqueName="3" name="active_customers" queryTableFieldId="3"/>
    <tableColumn id="4" xr3:uid="{3A458E54-20BF-43DA-B3BB-EE61B230B2EC}" uniqueName="4" name="revenue_per_active_customer" queryTableFieldId="4" dataDxf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A31A3C-B2BC-4F20-B6CE-0A8E734221FB}" name="_WITH_first_purchase_AS_SELECT_customer_id_DATE_TRUNC_month_MIN__202602241021" displayName="_WITH_first_purchase_AS_SELECT_customer_id_DATE_TRUNC_month_MIN__202602241021" ref="A1:B14" tableType="queryTable" totalsRowShown="0">
  <autoFilter ref="A1:B14" xr:uid="{FEA31A3C-B2BC-4F20-B6CE-0A8E734221FB}"/>
  <tableColumns count="2">
    <tableColumn id="1" xr3:uid="{D222EF7C-7109-4D14-A87E-8859AB8E970E}" uniqueName="1" name="cohort_month" queryTableFieldId="1" dataDxfId="7"/>
    <tableColumn id="2" xr3:uid="{F6F3F15B-5558-468C-8BDD-28FB60230FD0}" uniqueName="2" name="cohort_siz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B17A7-4F95-4CFB-ACEE-220376EEA22A}" name="_WITH_first_purchase_AS_SELECT_customer_id_DATE_TRUNC_month_MIN__202602231242" displayName="_WITH_first_purchase_AS_SELECT_customer_id_DATE_TRUNC_month_MIN__202602231242" ref="A1:C92" tableType="queryTable" totalsRowShown="0">
  <autoFilter ref="A1:C92" xr:uid="{C1AB17A7-4F95-4CFB-ACEE-220376EEA22A}"/>
  <tableColumns count="3">
    <tableColumn id="1" xr3:uid="{C7ABCF2B-53A8-415E-B571-1C55BF4FD0D7}" uniqueName="1" name="cohort_month" queryTableFieldId="1" dataDxfId="5"/>
    <tableColumn id="2" xr3:uid="{80478FC5-C906-42CA-B1C3-232141C1D4AE}" uniqueName="2" name="cohort_index" queryTableFieldId="2" dataDxfId="4"/>
    <tableColumn id="3" xr3:uid="{DC1103A9-B36A-43D6-B9DA-E2A5605F6A22}" uniqueName="3" name="ltv_per_customer" queryTableFieldId="3" dataDxf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0E936-89BE-449C-998C-35AE035F70DD}" name="_WITH_first_purchase_AS_SELECT_customer_id_MIN_DATE_TRUNC_month__202602231145" displayName="_WITH_first_purchase_AS_SELECT_customer_id_MIN_DATE_TRUNC_month__202602231145" ref="A1:D92" tableType="queryTable" totalsRowShown="0">
  <autoFilter ref="A1:D92" xr:uid="{55F0E936-89BE-449C-998C-35AE035F70DD}"/>
  <tableColumns count="4">
    <tableColumn id="1" xr3:uid="{2B0A8967-80ED-4D8A-9F3C-DF5A89C15AE1}" uniqueName="1" name="cohort_month" queryTableFieldId="1" dataDxfId="2"/>
    <tableColumn id="2" xr3:uid="{598DB4E9-52F2-4777-AF9B-983244AF3E17}" uniqueName="2" name="cohort_index" queryTableFieldId="2" dataDxfId="1"/>
    <tableColumn id="3" xr3:uid="{BD2FB423-57DB-4570-8A0B-EA069E6CA050}" uniqueName="3" name="customers" queryTableFieldId="3"/>
    <tableColumn id="4" xr3:uid="{BA61C745-A1B7-43EB-8DD7-40362250D120}" uniqueName="4" name="retention_r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AF78-3997-4627-8041-726595C70637}">
  <dimension ref="A3:N17"/>
  <sheetViews>
    <sheetView workbookViewId="0">
      <selection activeCell="A3" sqref="A3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14" width="6.140625" bestFit="1" customWidth="1"/>
    <col min="15" max="15" width="11.28515625" bestFit="1" customWidth="1"/>
  </cols>
  <sheetData>
    <row r="3" spans="1:14" x14ac:dyDescent="0.25">
      <c r="A3" s="4" t="s">
        <v>19</v>
      </c>
      <c r="B3" s="4" t="s">
        <v>18</v>
      </c>
    </row>
    <row r="4" spans="1:14" x14ac:dyDescent="0.25">
      <c r="A4" s="4" t="s">
        <v>17</v>
      </c>
      <c r="B4" s="7" t="s">
        <v>4</v>
      </c>
      <c r="C4" s="7" t="s">
        <v>5</v>
      </c>
      <c r="D4" s="7" t="s">
        <v>14</v>
      </c>
      <c r="E4" s="7" t="s">
        <v>15</v>
      </c>
      <c r="F4" s="7" t="s">
        <v>16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1:14" x14ac:dyDescent="0.25">
      <c r="A5" s="6">
        <v>40513</v>
      </c>
      <c r="B5" s="8">
        <v>1</v>
      </c>
      <c r="C5" s="8">
        <v>0.36699999999999999</v>
      </c>
      <c r="D5" s="8">
        <v>0.375</v>
      </c>
      <c r="E5" s="8">
        <v>0.504</v>
      </c>
      <c r="F5" s="8">
        <v>0.26700000000000002</v>
      </c>
      <c r="G5" s="8">
        <v>0.32400000000000001</v>
      </c>
      <c r="H5" s="8">
        <v>0.38500000000000001</v>
      </c>
      <c r="I5" s="8">
        <v>0.36399999999999999</v>
      </c>
      <c r="J5" s="8">
        <v>0.39900000000000002</v>
      </c>
      <c r="K5" s="8">
        <v>0.36399999999999999</v>
      </c>
      <c r="L5" s="8">
        <v>0.35</v>
      </c>
      <c r="M5" s="8">
        <v>0.35399999999999998</v>
      </c>
      <c r="N5" s="8">
        <v>0.39700000000000002</v>
      </c>
    </row>
    <row r="6" spans="1:14" x14ac:dyDescent="0.25">
      <c r="A6" s="6">
        <v>40544</v>
      </c>
      <c r="B6" s="8">
        <v>1</v>
      </c>
      <c r="C6" s="8">
        <v>0.221</v>
      </c>
      <c r="D6" s="8">
        <v>0.36499999999999999</v>
      </c>
      <c r="E6" s="8">
        <v>0.11799999999999999</v>
      </c>
      <c r="F6" s="8"/>
      <c r="G6" s="8">
        <v>0.26600000000000001</v>
      </c>
      <c r="H6" s="8">
        <v>0.23</v>
      </c>
      <c r="I6" s="8">
        <v>0.32100000000000001</v>
      </c>
      <c r="J6" s="8">
        <v>0.28799999999999998</v>
      </c>
      <c r="K6" s="8">
        <v>0.247</v>
      </c>
      <c r="L6" s="8">
        <v>0.24199999999999999</v>
      </c>
      <c r="M6" s="8">
        <v>0.3</v>
      </c>
      <c r="N6" s="8">
        <v>0.32600000000000001</v>
      </c>
    </row>
    <row r="7" spans="1:14" x14ac:dyDescent="0.25">
      <c r="A7" s="6">
        <v>40575</v>
      </c>
      <c r="B7" s="8">
        <v>1</v>
      </c>
      <c r="C7" s="8">
        <v>0.187</v>
      </c>
      <c r="D7" s="8">
        <v>6.8000000000000005E-2</v>
      </c>
      <c r="E7" s="8"/>
      <c r="F7" s="8"/>
      <c r="G7" s="8">
        <v>0.187</v>
      </c>
      <c r="H7" s="8">
        <v>0.28399999999999997</v>
      </c>
      <c r="I7" s="8">
        <v>0.27100000000000002</v>
      </c>
      <c r="J7" s="8">
        <v>0.247</v>
      </c>
      <c r="K7" s="8">
        <v>0.253</v>
      </c>
      <c r="L7" s="8">
        <v>0.27900000000000003</v>
      </c>
      <c r="M7" s="8">
        <v>0.247</v>
      </c>
      <c r="N7" s="8">
        <v>0.30499999999999999</v>
      </c>
    </row>
    <row r="8" spans="1:14" x14ac:dyDescent="0.25">
      <c r="A8" s="6">
        <v>40603</v>
      </c>
      <c r="B8" s="8">
        <v>1</v>
      </c>
      <c r="C8" s="8">
        <v>0.151</v>
      </c>
      <c r="D8" s="8"/>
      <c r="E8" s="8"/>
      <c r="F8" s="8"/>
      <c r="G8" s="8">
        <v>0.253</v>
      </c>
      <c r="H8" s="8">
        <v>0.2</v>
      </c>
      <c r="I8" s="8">
        <v>0.224</v>
      </c>
      <c r="J8" s="8">
        <v>0.16900000000000001</v>
      </c>
      <c r="K8" s="8">
        <v>0.26600000000000001</v>
      </c>
      <c r="L8" s="8">
        <v>0.23100000000000001</v>
      </c>
      <c r="M8" s="8">
        <v>0.27900000000000003</v>
      </c>
      <c r="N8" s="8">
        <v>8.4000000000000005E-2</v>
      </c>
    </row>
    <row r="9" spans="1:14" x14ac:dyDescent="0.25">
      <c r="A9" s="6">
        <v>40634</v>
      </c>
      <c r="B9" s="8">
        <v>1</v>
      </c>
      <c r="C9" s="8">
        <v>0.21299999999999999</v>
      </c>
      <c r="D9" s="8"/>
      <c r="E9" s="8"/>
      <c r="F9" s="8"/>
      <c r="G9" s="8">
        <v>0.20300000000000001</v>
      </c>
      <c r="H9" s="8">
        <v>0.21</v>
      </c>
      <c r="I9" s="8">
        <v>0.19700000000000001</v>
      </c>
      <c r="J9" s="8">
        <v>0.22700000000000001</v>
      </c>
      <c r="K9" s="8">
        <v>0.217</v>
      </c>
      <c r="L9" s="8">
        <v>0.26</v>
      </c>
      <c r="M9" s="8">
        <v>7.2999999999999995E-2</v>
      </c>
      <c r="N9" s="8"/>
    </row>
    <row r="10" spans="1:14" x14ac:dyDescent="0.25">
      <c r="A10" s="6">
        <v>40664</v>
      </c>
      <c r="B10" s="8">
        <v>1</v>
      </c>
      <c r="C10" s="8">
        <v>0.19</v>
      </c>
      <c r="D10" s="8"/>
      <c r="E10" s="8"/>
      <c r="F10" s="8"/>
      <c r="G10" s="8">
        <v>0.17299999999999999</v>
      </c>
      <c r="H10" s="8">
        <v>0.17299999999999999</v>
      </c>
      <c r="I10" s="8">
        <v>0.20799999999999999</v>
      </c>
      <c r="J10" s="8">
        <v>0.23200000000000001</v>
      </c>
      <c r="K10" s="8">
        <v>0.26400000000000001</v>
      </c>
      <c r="L10" s="8">
        <v>9.1999999999999998E-2</v>
      </c>
      <c r="M10" s="8"/>
      <c r="N10" s="8"/>
    </row>
    <row r="11" spans="1:14" x14ac:dyDescent="0.25">
      <c r="A11" s="6">
        <v>40695</v>
      </c>
      <c r="B11" s="8">
        <v>1</v>
      </c>
      <c r="C11" s="8">
        <v>0.17399999999999999</v>
      </c>
      <c r="D11" s="8"/>
      <c r="E11" s="8"/>
      <c r="F11" s="8"/>
      <c r="G11" s="8">
        <v>0.157</v>
      </c>
      <c r="H11" s="8">
        <v>0.26400000000000001</v>
      </c>
      <c r="I11" s="8">
        <v>0.23100000000000001</v>
      </c>
      <c r="J11" s="8">
        <v>0.33500000000000002</v>
      </c>
      <c r="K11" s="8">
        <v>9.5000000000000001E-2</v>
      </c>
      <c r="L11" s="8"/>
      <c r="M11" s="8"/>
      <c r="N11" s="8"/>
    </row>
    <row r="12" spans="1:14" x14ac:dyDescent="0.25">
      <c r="A12" s="6">
        <v>40725</v>
      </c>
      <c r="B12" s="8">
        <v>1</v>
      </c>
      <c r="C12" s="8">
        <v>0.18099999999999999</v>
      </c>
      <c r="D12" s="8"/>
      <c r="E12" s="8"/>
      <c r="F12" s="8"/>
      <c r="G12" s="8">
        <v>0.20699999999999999</v>
      </c>
      <c r="H12" s="8">
        <v>0.223</v>
      </c>
      <c r="I12" s="8">
        <v>0.27100000000000002</v>
      </c>
      <c r="J12" s="8">
        <v>0.112</v>
      </c>
      <c r="K12" s="8"/>
      <c r="L12" s="8"/>
      <c r="M12" s="8"/>
      <c r="N12" s="8"/>
    </row>
    <row r="13" spans="1:14" x14ac:dyDescent="0.25">
      <c r="A13" s="6">
        <v>40756</v>
      </c>
      <c r="B13" s="8">
        <v>1</v>
      </c>
      <c r="C13" s="8">
        <v>0.20699999999999999</v>
      </c>
      <c r="D13" s="8"/>
      <c r="E13" s="8"/>
      <c r="F13" s="8"/>
      <c r="G13" s="8">
        <v>0.249</v>
      </c>
      <c r="H13" s="8">
        <v>0.24299999999999999</v>
      </c>
      <c r="I13" s="8">
        <v>0.124</v>
      </c>
      <c r="J13" s="8"/>
      <c r="K13" s="8"/>
      <c r="L13" s="8"/>
      <c r="M13" s="8"/>
      <c r="N13" s="8"/>
    </row>
    <row r="14" spans="1:14" x14ac:dyDescent="0.25">
      <c r="A14" s="6">
        <v>40787</v>
      </c>
      <c r="B14" s="8">
        <v>1</v>
      </c>
      <c r="C14" s="8">
        <v>0.23400000000000001</v>
      </c>
      <c r="D14" s="8"/>
      <c r="E14" s="8"/>
      <c r="F14" s="8"/>
      <c r="G14" s="8">
        <v>0.30099999999999999</v>
      </c>
      <c r="H14" s="8">
        <v>0.114</v>
      </c>
      <c r="I14" s="8"/>
      <c r="J14" s="8"/>
      <c r="K14" s="8"/>
      <c r="L14" s="8"/>
      <c r="M14" s="8"/>
      <c r="N14" s="8"/>
    </row>
    <row r="15" spans="1:14" x14ac:dyDescent="0.25">
      <c r="A15" s="6">
        <v>40817</v>
      </c>
      <c r="B15" s="8">
        <v>1</v>
      </c>
      <c r="C15" s="8">
        <v>0.24</v>
      </c>
      <c r="D15" s="8"/>
      <c r="E15" s="8"/>
      <c r="F15" s="8"/>
      <c r="G15" s="8">
        <v>0.115</v>
      </c>
      <c r="H15" s="8"/>
      <c r="I15" s="8"/>
      <c r="J15" s="8"/>
      <c r="K15" s="8"/>
      <c r="L15" s="8"/>
      <c r="M15" s="8"/>
      <c r="N15" s="8"/>
    </row>
    <row r="16" spans="1:14" x14ac:dyDescent="0.25">
      <c r="A16" s="6">
        <v>40848</v>
      </c>
      <c r="B16" s="8">
        <v>1</v>
      </c>
      <c r="C16" s="8">
        <v>0.111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6">
        <v>40878</v>
      </c>
      <c r="B17" s="8">
        <v>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</sheetData>
  <conditionalFormatting pivot="1" sqref="B5:N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F90-8AF5-4801-B5A5-47051718D522}">
  <dimension ref="A1:B13"/>
  <sheetViews>
    <sheetView workbookViewId="0">
      <selection activeCell="E19" sqref="E19"/>
    </sheetView>
  </sheetViews>
  <sheetFormatPr defaultRowHeight="15" x14ac:dyDescent="0.25"/>
  <cols>
    <col min="1" max="1" width="16" bestFit="1" customWidth="1"/>
    <col min="2" max="2" width="17.5703125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s="12">
        <v>40544</v>
      </c>
      <c r="B2" s="11">
        <v>1117410.9609999999</v>
      </c>
    </row>
    <row r="3" spans="1:2" x14ac:dyDescent="0.25">
      <c r="A3" s="12">
        <v>40575</v>
      </c>
      <c r="B3" s="11">
        <v>590766.41</v>
      </c>
    </row>
    <row r="4" spans="1:2" x14ac:dyDescent="0.25">
      <c r="A4" s="12">
        <v>40603</v>
      </c>
      <c r="B4" s="11">
        <v>640219.36</v>
      </c>
    </row>
    <row r="5" spans="1:2" x14ac:dyDescent="0.25">
      <c r="A5" s="12">
        <v>40634</v>
      </c>
      <c r="B5" s="11">
        <v>324400.30099999998</v>
      </c>
    </row>
    <row r="6" spans="1:2" x14ac:dyDescent="0.25">
      <c r="A6" s="12">
        <v>40664</v>
      </c>
      <c r="B6" s="11">
        <v>285716.28000000003</v>
      </c>
    </row>
    <row r="7" spans="1:2" x14ac:dyDescent="0.25">
      <c r="A7" s="12">
        <v>40695</v>
      </c>
      <c r="B7" s="11">
        <v>272333.23</v>
      </c>
    </row>
    <row r="8" spans="1:2" x14ac:dyDescent="0.25">
      <c r="A8" s="12">
        <v>40725</v>
      </c>
      <c r="B8" s="11">
        <v>143497.47099999999</v>
      </c>
    </row>
    <row r="9" spans="1:2" x14ac:dyDescent="0.25">
      <c r="A9" s="12">
        <v>40756</v>
      </c>
      <c r="B9" s="11">
        <v>194517.92</v>
      </c>
    </row>
    <row r="10" spans="1:2" x14ac:dyDescent="0.25">
      <c r="A10" s="12">
        <v>40787</v>
      </c>
      <c r="B10" s="11">
        <v>232809.08100000001</v>
      </c>
    </row>
    <row r="11" spans="1:2" x14ac:dyDescent="0.25">
      <c r="A11" s="12">
        <v>40817</v>
      </c>
      <c r="B11" s="11">
        <v>226283.88</v>
      </c>
    </row>
    <row r="12" spans="1:2" x14ac:dyDescent="0.25">
      <c r="A12" s="12">
        <v>40848</v>
      </c>
      <c r="B12" s="11">
        <v>151090.34</v>
      </c>
    </row>
    <row r="13" spans="1:2" x14ac:dyDescent="0.25">
      <c r="A13" s="12">
        <v>40878</v>
      </c>
      <c r="B13" s="11">
        <v>26944.69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908-7ED1-4766-A40D-AEBA8C1D7BA2}">
  <dimension ref="A1:B13"/>
  <sheetViews>
    <sheetView workbookViewId="0">
      <selection activeCell="G27" sqref="G27"/>
    </sheetView>
  </sheetViews>
  <sheetFormatPr defaultRowHeight="15" x14ac:dyDescent="0.25"/>
  <cols>
    <col min="1" max="1" width="14.28515625" bestFit="1" customWidth="1"/>
    <col min="2" max="2" width="19.1406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s="12">
        <v>40513</v>
      </c>
      <c r="B2" s="10">
        <v>817516.69</v>
      </c>
    </row>
    <row r="3" spans="1:2" x14ac:dyDescent="0.25">
      <c r="A3" s="12">
        <v>40544</v>
      </c>
      <c r="B3" s="10">
        <v>684856.35</v>
      </c>
    </row>
    <row r="4" spans="1:2" x14ac:dyDescent="0.25">
      <c r="A4" s="12">
        <v>40575</v>
      </c>
      <c r="B4" s="10">
        <v>518157.75</v>
      </c>
    </row>
    <row r="5" spans="1:2" x14ac:dyDescent="0.25">
      <c r="A5" s="12">
        <v>40603</v>
      </c>
      <c r="B5" s="10">
        <v>712377.03</v>
      </c>
    </row>
    <row r="6" spans="1:2" x14ac:dyDescent="0.25">
      <c r="A6" s="12">
        <v>40634</v>
      </c>
      <c r="B6" s="10">
        <v>532901.34100000001</v>
      </c>
    </row>
    <row r="7" spans="1:2" x14ac:dyDescent="0.25">
      <c r="A7" s="12">
        <v>40664</v>
      </c>
      <c r="B7" s="10">
        <v>764670.67</v>
      </c>
    </row>
    <row r="8" spans="1:2" x14ac:dyDescent="0.25">
      <c r="A8" s="12">
        <v>40695</v>
      </c>
      <c r="B8" s="10">
        <v>756666.36</v>
      </c>
    </row>
    <row r="9" spans="1:2" x14ac:dyDescent="0.25">
      <c r="A9" s="12">
        <v>40725</v>
      </c>
      <c r="B9" s="10">
        <v>714531.35100000002</v>
      </c>
    </row>
    <row r="10" spans="1:2" x14ac:dyDescent="0.25">
      <c r="A10" s="12">
        <v>40756</v>
      </c>
      <c r="B10" s="10">
        <v>733208.85</v>
      </c>
    </row>
    <row r="11" spans="1:2" x14ac:dyDescent="0.25">
      <c r="A11" s="12">
        <v>40787</v>
      </c>
      <c r="B11" s="10">
        <v>1052708.5719999999</v>
      </c>
    </row>
    <row r="12" spans="1:2" x14ac:dyDescent="0.25">
      <c r="A12" s="12">
        <v>40817</v>
      </c>
      <c r="B12" s="10">
        <v>1150299.32</v>
      </c>
    </row>
    <row r="13" spans="1:2" x14ac:dyDescent="0.25">
      <c r="A13" s="12">
        <v>40848</v>
      </c>
      <c r="B13" s="10">
        <v>1503306.81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9E3-24E7-41E0-83B6-85D1F22162A5}">
  <dimension ref="A1:B14"/>
  <sheetViews>
    <sheetView workbookViewId="0">
      <selection activeCell="I25" sqref="I25"/>
    </sheetView>
  </sheetViews>
  <sheetFormatPr defaultRowHeight="15" x14ac:dyDescent="0.25"/>
  <cols>
    <col min="1" max="1" width="16" bestFit="1" customWidth="1"/>
    <col min="2" max="2" width="24.42578125" bestFit="1" customWidth="1"/>
  </cols>
  <sheetData>
    <row r="1" spans="1:2" x14ac:dyDescent="0.25">
      <c r="A1" t="s">
        <v>0</v>
      </c>
      <c r="B1" t="s">
        <v>25</v>
      </c>
    </row>
    <row r="2" spans="1:2" x14ac:dyDescent="0.25">
      <c r="A2" s="12">
        <v>40513</v>
      </c>
      <c r="B2" s="13">
        <v>7008.8889830508397</v>
      </c>
    </row>
    <row r="3" spans="1:2" x14ac:dyDescent="0.25">
      <c r="A3" s="12">
        <v>40544</v>
      </c>
      <c r="B3" s="13">
        <v>2679.6425923261299</v>
      </c>
    </row>
    <row r="4" spans="1:2" x14ac:dyDescent="0.25">
      <c r="A4" s="12">
        <v>40575</v>
      </c>
      <c r="B4" s="13">
        <v>1554.64844736842</v>
      </c>
    </row>
    <row r="5" spans="1:2" x14ac:dyDescent="0.25">
      <c r="A5" s="12">
        <v>40603</v>
      </c>
      <c r="B5" s="13">
        <v>1419.5551219512099</v>
      </c>
    </row>
    <row r="6" spans="1:2" x14ac:dyDescent="0.25">
      <c r="A6" s="12">
        <v>40634</v>
      </c>
      <c r="B6" s="13">
        <v>1081.33433666666</v>
      </c>
    </row>
    <row r="7" spans="1:2" x14ac:dyDescent="0.25">
      <c r="A7" s="12">
        <v>40664</v>
      </c>
      <c r="B7" s="13">
        <v>1006.04323943661</v>
      </c>
    </row>
    <row r="8" spans="1:2" x14ac:dyDescent="0.25">
      <c r="A8" s="12">
        <v>40695</v>
      </c>
      <c r="B8" s="13">
        <v>1125.3439256198301</v>
      </c>
    </row>
    <row r="9" spans="1:2" x14ac:dyDescent="0.25">
      <c r="A9" s="12">
        <v>40725</v>
      </c>
      <c r="B9" s="13">
        <v>763.28442021276499</v>
      </c>
    </row>
    <row r="10" spans="1:2" x14ac:dyDescent="0.25">
      <c r="A10" s="12">
        <v>40756</v>
      </c>
      <c r="B10" s="13">
        <v>1150.9936094674499</v>
      </c>
    </row>
    <row r="11" spans="1:2" x14ac:dyDescent="0.25">
      <c r="A11" s="12">
        <v>40787</v>
      </c>
      <c r="B11" s="13">
        <v>778.62568896321</v>
      </c>
    </row>
    <row r="12" spans="1:2" x14ac:dyDescent="0.25">
      <c r="A12" s="12">
        <v>40817</v>
      </c>
      <c r="B12" s="13">
        <v>632.077877094972</v>
      </c>
    </row>
    <row r="13" spans="1:2" x14ac:dyDescent="0.25">
      <c r="A13" s="12">
        <v>40848</v>
      </c>
      <c r="B13" s="13">
        <v>466.32820987654299</v>
      </c>
    </row>
    <row r="14" spans="1:2" x14ac:dyDescent="0.25">
      <c r="A14" s="12">
        <v>40878</v>
      </c>
      <c r="B14" s="13">
        <v>657.18756097560902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5ED8-023D-41EC-91F7-D27FF7E82043}">
  <dimension ref="A1:B11"/>
  <sheetViews>
    <sheetView workbookViewId="0">
      <selection activeCell="N5" sqref="N5"/>
    </sheetView>
  </sheetViews>
  <sheetFormatPr defaultRowHeight="15" x14ac:dyDescent="0.25"/>
  <cols>
    <col min="1" max="1" width="16" bestFit="1" customWidth="1"/>
    <col min="2" max="2" width="22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 s="12">
        <v>40513</v>
      </c>
      <c r="B2" s="10">
        <v>1238.6251026392899</v>
      </c>
    </row>
    <row r="3" spans="1:2" x14ac:dyDescent="0.25">
      <c r="A3" s="12">
        <v>40544</v>
      </c>
      <c r="B3" s="10">
        <v>736.916354166666</v>
      </c>
    </row>
    <row r="4" spans="1:2" x14ac:dyDescent="0.25">
      <c r="A4" s="12">
        <v>40575</v>
      </c>
      <c r="B4" s="10">
        <v>444.05129629629602</v>
      </c>
    </row>
    <row r="5" spans="1:2" x14ac:dyDescent="0.25">
      <c r="A5" s="12">
        <v>40603</v>
      </c>
      <c r="B5" s="10">
        <v>473.42477777777702</v>
      </c>
    </row>
    <row r="6" spans="1:2" x14ac:dyDescent="0.25">
      <c r="A6" s="12">
        <v>40634</v>
      </c>
      <c r="B6" s="10">
        <v>384.68888888888802</v>
      </c>
    </row>
    <row r="7" spans="1:2" x14ac:dyDescent="0.25">
      <c r="A7" s="12">
        <v>40664</v>
      </c>
      <c r="B7" s="10">
        <v>389.11897959183602</v>
      </c>
    </row>
    <row r="8" spans="1:2" x14ac:dyDescent="0.25">
      <c r="A8" s="12">
        <v>40695</v>
      </c>
      <c r="B8" s="10">
        <v>481.60078125000001</v>
      </c>
    </row>
    <row r="9" spans="1:2" x14ac:dyDescent="0.25">
      <c r="A9" s="12">
        <v>40725</v>
      </c>
      <c r="B9" s="10">
        <v>412.19952380952299</v>
      </c>
    </row>
    <row r="10" spans="1:2" x14ac:dyDescent="0.25">
      <c r="A10" s="12">
        <v>40756</v>
      </c>
      <c r="B10" s="10">
        <v>1079.3692682926801</v>
      </c>
    </row>
    <row r="11" spans="1:2" x14ac:dyDescent="0.25">
      <c r="A11" s="12">
        <v>40787</v>
      </c>
      <c r="B11" s="10">
        <v>361.30176470588202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1356-163A-4EBF-B767-C1322DCECA9B}">
  <dimension ref="A1:B4"/>
  <sheetViews>
    <sheetView workbookViewId="0">
      <selection activeCell="B34" sqref="B34"/>
    </sheetView>
  </sheetViews>
  <sheetFormatPr defaultRowHeight="15" x14ac:dyDescent="0.25"/>
  <cols>
    <col min="1" max="1" width="12.28515625" bestFit="1" customWidth="1"/>
    <col min="2" max="2" width="19.85546875" bestFit="1" customWidth="1"/>
  </cols>
  <sheetData>
    <row r="1" spans="1:2" x14ac:dyDescent="0.25">
      <c r="A1" t="s">
        <v>1</v>
      </c>
      <c r="B1" t="s">
        <v>29</v>
      </c>
    </row>
    <row r="2" spans="1:2" x14ac:dyDescent="0.25">
      <c r="A2" t="s">
        <v>5</v>
      </c>
      <c r="B2" s="14">
        <v>0.20632509485216499</v>
      </c>
    </row>
    <row r="3" spans="1:2" x14ac:dyDescent="0.25">
      <c r="A3" t="s">
        <v>6</v>
      </c>
      <c r="B3" s="14">
        <v>0.22131671820585999</v>
      </c>
    </row>
    <row r="4" spans="1:2" x14ac:dyDescent="0.25">
      <c r="A4" t="s">
        <v>7</v>
      </c>
      <c r="B4" s="14">
        <v>0.232601183051905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485A-FD86-4D03-8F1A-65D9DBA73DC0}">
  <dimension ref="A1:B4"/>
  <sheetViews>
    <sheetView workbookViewId="0">
      <selection activeCell="O28" sqref="O28"/>
    </sheetView>
  </sheetViews>
  <sheetFormatPr defaultRowHeight="15" x14ac:dyDescent="0.25"/>
  <cols>
    <col min="1" max="1" width="13.85546875" bestFit="1" customWidth="1"/>
    <col min="2" max="2" width="12.71093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>
        <v>613334.92099999997</v>
      </c>
    </row>
    <row r="4" spans="1:2" x14ac:dyDescent="0.25">
      <c r="A4" t="s">
        <v>33</v>
      </c>
      <c r="B4">
        <v>9795521.7530000005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61D5-D37B-4C67-8429-B3B4316D2A34}">
  <dimension ref="A1:B6"/>
  <sheetViews>
    <sheetView tabSelected="1" workbookViewId="0">
      <selection activeCell="K34" sqref="K34"/>
    </sheetView>
  </sheetViews>
  <sheetFormatPr defaultRowHeight="15" x14ac:dyDescent="0.25"/>
  <cols>
    <col min="1" max="1" width="15.140625" bestFit="1" customWidth="1"/>
    <col min="2" max="2" width="12.85546875" bestFit="1" customWidth="1"/>
  </cols>
  <sheetData>
    <row r="1" spans="1:2" x14ac:dyDescent="0.25">
      <c r="A1" t="s">
        <v>34</v>
      </c>
      <c r="B1" t="s">
        <v>2</v>
      </c>
    </row>
    <row r="2" spans="1:2" x14ac:dyDescent="0.25">
      <c r="A2" t="s">
        <v>35</v>
      </c>
      <c r="B2">
        <v>1494</v>
      </c>
    </row>
    <row r="3" spans="1:2" x14ac:dyDescent="0.25">
      <c r="A3" s="18" t="s">
        <v>37</v>
      </c>
      <c r="B3" s="15">
        <v>1341</v>
      </c>
    </row>
    <row r="4" spans="1:2" x14ac:dyDescent="0.25">
      <c r="A4" s="17" t="s">
        <v>38</v>
      </c>
      <c r="B4" s="16">
        <v>630</v>
      </c>
    </row>
    <row r="5" spans="1:2" x14ac:dyDescent="0.25">
      <c r="A5" s="18" t="s">
        <v>39</v>
      </c>
      <c r="B5" s="15">
        <v>535</v>
      </c>
    </row>
    <row r="6" spans="1:2" x14ac:dyDescent="0.25">
      <c r="A6" s="17" t="s">
        <v>36</v>
      </c>
      <c r="B6" s="16">
        <v>338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47FD-7F40-46D1-B2B5-8614E843713A}">
  <dimension ref="A1:C6"/>
  <sheetViews>
    <sheetView workbookViewId="0">
      <selection activeCell="O28" sqref="O28"/>
    </sheetView>
  </sheetViews>
  <sheetFormatPr defaultRowHeight="15" x14ac:dyDescent="0.25"/>
  <cols>
    <col min="1" max="1" width="14.85546875" bestFit="1" customWidth="1"/>
    <col min="2" max="2" width="12.85546875" bestFit="1" customWidth="1"/>
    <col min="3" max="3" width="15.85546875" bestFit="1" customWidth="1"/>
  </cols>
  <sheetData>
    <row r="1" spans="1:3" x14ac:dyDescent="0.25">
      <c r="A1" t="s">
        <v>40</v>
      </c>
      <c r="B1" t="s">
        <v>2</v>
      </c>
      <c r="C1" t="s">
        <v>31</v>
      </c>
    </row>
    <row r="2" spans="1:3" x14ac:dyDescent="0.25">
      <c r="A2" s="18" t="s">
        <v>45</v>
      </c>
      <c r="B2" s="2">
        <v>308</v>
      </c>
      <c r="C2" s="2">
        <v>112449.94</v>
      </c>
    </row>
    <row r="3" spans="1:3" x14ac:dyDescent="0.25">
      <c r="A3" s="17" t="s">
        <v>44</v>
      </c>
      <c r="B3" s="3">
        <v>1428</v>
      </c>
      <c r="C3" s="3">
        <v>628796.15099999995</v>
      </c>
    </row>
    <row r="4" spans="1:3" x14ac:dyDescent="0.25">
      <c r="A4" s="18" t="s">
        <v>43</v>
      </c>
      <c r="B4" s="2">
        <v>656</v>
      </c>
      <c r="C4" s="2">
        <v>864770.522</v>
      </c>
    </row>
    <row r="5" spans="1:3" x14ac:dyDescent="0.25">
      <c r="A5" s="17" t="s">
        <v>42</v>
      </c>
      <c r="B5" s="3">
        <v>993</v>
      </c>
      <c r="C5" s="3">
        <v>1374908.1510000001</v>
      </c>
    </row>
    <row r="6" spans="1:3" x14ac:dyDescent="0.25">
      <c r="A6" s="18" t="s">
        <v>41</v>
      </c>
      <c r="B6" s="2">
        <v>953</v>
      </c>
      <c r="C6" s="2">
        <v>7427931.9100000001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EF2F-5A26-49F2-9FBA-2A7DDA3FA806}">
  <dimension ref="A1:B7"/>
  <sheetViews>
    <sheetView workbookViewId="0">
      <selection activeCell="P23" sqref="P23"/>
    </sheetView>
  </sheetViews>
  <sheetFormatPr defaultRowHeight="15" x14ac:dyDescent="0.25"/>
  <cols>
    <col min="1" max="1" width="12.28515625" bestFit="1" customWidth="1"/>
    <col min="2" max="2" width="19.85546875" bestFit="1" customWidth="1"/>
  </cols>
  <sheetData>
    <row r="1" spans="1:2" x14ac:dyDescent="0.25">
      <c r="A1" t="s">
        <v>1</v>
      </c>
      <c r="B1" t="s">
        <v>29</v>
      </c>
    </row>
    <row r="2" spans="1:2" x14ac:dyDescent="0.25">
      <c r="A2" t="s">
        <v>5</v>
      </c>
      <c r="B2" s="19">
        <v>0.227367931114731</v>
      </c>
    </row>
    <row r="3" spans="1:2" x14ac:dyDescent="0.25">
      <c r="A3" t="s">
        <v>6</v>
      </c>
      <c r="B3" s="19">
        <v>0.23735212685627899</v>
      </c>
    </row>
    <row r="4" spans="1:2" x14ac:dyDescent="0.25">
      <c r="A4" t="s">
        <v>7</v>
      </c>
      <c r="B4" s="19">
        <v>0.25670816044259998</v>
      </c>
    </row>
    <row r="5" spans="1:2" x14ac:dyDescent="0.25">
      <c r="A5" t="s">
        <v>8</v>
      </c>
      <c r="B5" s="19">
        <v>0.27322074788902201</v>
      </c>
    </row>
    <row r="6" spans="1:2" x14ac:dyDescent="0.25">
      <c r="A6" t="s">
        <v>9</v>
      </c>
      <c r="B6" s="19">
        <v>0.27931363203050502</v>
      </c>
    </row>
    <row r="7" spans="1:2" x14ac:dyDescent="0.25">
      <c r="A7" t="s">
        <v>10</v>
      </c>
      <c r="B7" s="19">
        <v>0.27171341669482901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C267-1B71-4583-97A4-42ED6F02E82A}">
  <dimension ref="A1:B14"/>
  <sheetViews>
    <sheetView workbookViewId="0">
      <selection activeCell="D5" sqref="D5"/>
    </sheetView>
  </sheetViews>
  <sheetFormatPr defaultRowHeight="15" x14ac:dyDescent="0.25"/>
  <cols>
    <col min="1" max="1" width="14.28515625" bestFit="1" customWidth="1"/>
    <col min="2" max="2" width="28" bestFit="1" customWidth="1"/>
  </cols>
  <sheetData>
    <row r="1" spans="1:2" x14ac:dyDescent="0.25">
      <c r="A1" t="s">
        <v>22</v>
      </c>
      <c r="B1" t="s">
        <v>46</v>
      </c>
    </row>
    <row r="2" spans="1:2" x14ac:dyDescent="0.25">
      <c r="A2" s="12">
        <v>40513</v>
      </c>
      <c r="B2">
        <v>885</v>
      </c>
    </row>
    <row r="3" spans="1:2" x14ac:dyDescent="0.25">
      <c r="A3" s="12">
        <v>40544</v>
      </c>
      <c r="B3">
        <v>742</v>
      </c>
    </row>
    <row r="4" spans="1:2" x14ac:dyDescent="0.25">
      <c r="A4" s="12">
        <v>40575</v>
      </c>
      <c r="B4">
        <v>759</v>
      </c>
    </row>
    <row r="5" spans="1:2" x14ac:dyDescent="0.25">
      <c r="A5" s="12">
        <v>40603</v>
      </c>
      <c r="B5">
        <v>974</v>
      </c>
    </row>
    <row r="6" spans="1:2" x14ac:dyDescent="0.25">
      <c r="A6" s="12">
        <v>40634</v>
      </c>
      <c r="B6">
        <v>857</v>
      </c>
    </row>
    <row r="7" spans="1:2" x14ac:dyDescent="0.25">
      <c r="A7" s="12">
        <v>40664</v>
      </c>
      <c r="B7">
        <v>1057</v>
      </c>
    </row>
    <row r="8" spans="1:2" x14ac:dyDescent="0.25">
      <c r="A8" s="12">
        <v>40695</v>
      </c>
      <c r="B8">
        <v>992</v>
      </c>
    </row>
    <row r="9" spans="1:2" x14ac:dyDescent="0.25">
      <c r="A9" s="12">
        <v>40725</v>
      </c>
      <c r="B9">
        <v>950</v>
      </c>
    </row>
    <row r="10" spans="1:2" x14ac:dyDescent="0.25">
      <c r="A10" s="12">
        <v>40756</v>
      </c>
      <c r="B10">
        <v>935</v>
      </c>
    </row>
    <row r="11" spans="1:2" x14ac:dyDescent="0.25">
      <c r="A11" s="12">
        <v>40787</v>
      </c>
      <c r="B11">
        <v>1266</v>
      </c>
    </row>
    <row r="12" spans="1:2" x14ac:dyDescent="0.25">
      <c r="A12" s="12">
        <v>40817</v>
      </c>
      <c r="B12">
        <v>1365</v>
      </c>
    </row>
    <row r="13" spans="1:2" x14ac:dyDescent="0.25">
      <c r="A13" s="12">
        <v>40848</v>
      </c>
      <c r="B13">
        <v>1666</v>
      </c>
    </row>
    <row r="14" spans="1:2" x14ac:dyDescent="0.25">
      <c r="A14" s="12">
        <v>40878</v>
      </c>
      <c r="B14">
        <v>614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5C3F-819C-4215-837F-C08150EC9DAD}">
  <dimension ref="A1:D14"/>
  <sheetViews>
    <sheetView workbookViewId="0">
      <selection activeCell="J29" sqref="J29"/>
    </sheetView>
  </sheetViews>
  <sheetFormatPr defaultRowHeight="15" x14ac:dyDescent="0.25"/>
  <cols>
    <col min="1" max="1" width="14.28515625" bestFit="1" customWidth="1"/>
    <col min="2" max="2" width="11.5703125" bestFit="1" customWidth="1"/>
    <col min="3" max="3" width="19.28515625" bestFit="1" customWidth="1"/>
    <col min="4" max="4" width="30.85546875" bestFit="1" customWidth="1"/>
  </cols>
  <sheetData>
    <row r="1" spans="1:4" x14ac:dyDescent="0.25">
      <c r="A1" t="s">
        <v>22</v>
      </c>
      <c r="B1" t="s">
        <v>47</v>
      </c>
      <c r="C1" t="s">
        <v>48</v>
      </c>
      <c r="D1" t="s">
        <v>49</v>
      </c>
    </row>
    <row r="2" spans="1:4" x14ac:dyDescent="0.25">
      <c r="A2" s="12">
        <v>40513</v>
      </c>
      <c r="B2">
        <v>817516.69</v>
      </c>
      <c r="C2">
        <v>885</v>
      </c>
      <c r="D2">
        <v>923.74767231638396</v>
      </c>
    </row>
    <row r="3" spans="1:4" x14ac:dyDescent="0.25">
      <c r="A3" s="12">
        <v>40544</v>
      </c>
      <c r="B3">
        <v>684856.35</v>
      </c>
      <c r="C3">
        <v>742</v>
      </c>
      <c r="D3">
        <v>922.98699460916396</v>
      </c>
    </row>
    <row r="4" spans="1:4" x14ac:dyDescent="0.25">
      <c r="A4" s="12">
        <v>40575</v>
      </c>
      <c r="B4">
        <v>518157.75</v>
      </c>
      <c r="C4">
        <v>759</v>
      </c>
      <c r="D4">
        <v>682.68478260869495</v>
      </c>
    </row>
    <row r="5" spans="1:4" x14ac:dyDescent="0.25">
      <c r="A5" s="12">
        <v>40603</v>
      </c>
      <c r="B5">
        <v>712377.03</v>
      </c>
      <c r="C5">
        <v>974</v>
      </c>
      <c r="D5">
        <v>731.393254620123</v>
      </c>
    </row>
    <row r="6" spans="1:4" x14ac:dyDescent="0.25">
      <c r="A6" s="12">
        <v>40634</v>
      </c>
      <c r="B6">
        <v>532901.34100000001</v>
      </c>
      <c r="C6">
        <v>857</v>
      </c>
      <c r="D6">
        <v>621.82186814469003</v>
      </c>
    </row>
    <row r="7" spans="1:4" x14ac:dyDescent="0.25">
      <c r="A7" s="12">
        <v>40664</v>
      </c>
      <c r="B7">
        <v>764670.67</v>
      </c>
      <c r="C7">
        <v>1057</v>
      </c>
      <c r="D7">
        <v>723.43488174077504</v>
      </c>
    </row>
    <row r="8" spans="1:4" x14ac:dyDescent="0.25">
      <c r="A8" s="12">
        <v>40695</v>
      </c>
      <c r="B8">
        <v>756666.36</v>
      </c>
      <c r="C8">
        <v>992</v>
      </c>
      <c r="D8">
        <v>762.76850806451603</v>
      </c>
    </row>
    <row r="9" spans="1:4" x14ac:dyDescent="0.25">
      <c r="A9" s="12">
        <v>40725</v>
      </c>
      <c r="B9">
        <v>714531.35100000002</v>
      </c>
      <c r="C9">
        <v>950</v>
      </c>
      <c r="D9">
        <v>752.13826421052602</v>
      </c>
    </row>
    <row r="10" spans="1:4" x14ac:dyDescent="0.25">
      <c r="A10" s="12">
        <v>40756</v>
      </c>
      <c r="B10">
        <v>733208.85</v>
      </c>
      <c r="C10">
        <v>935</v>
      </c>
      <c r="D10">
        <v>784.18058823529395</v>
      </c>
    </row>
    <row r="11" spans="1:4" x14ac:dyDescent="0.25">
      <c r="A11" s="12">
        <v>40787</v>
      </c>
      <c r="B11">
        <v>1052708.5719999999</v>
      </c>
      <c r="C11">
        <v>1266</v>
      </c>
      <c r="D11">
        <v>831.52335860979395</v>
      </c>
    </row>
    <row r="12" spans="1:4" x14ac:dyDescent="0.25">
      <c r="A12" s="12">
        <v>40817</v>
      </c>
      <c r="B12">
        <v>1150299.32</v>
      </c>
      <c r="C12">
        <v>1365</v>
      </c>
      <c r="D12">
        <v>842.71012454212405</v>
      </c>
    </row>
    <row r="13" spans="1:4" x14ac:dyDescent="0.25">
      <c r="A13" s="12">
        <v>40848</v>
      </c>
      <c r="B13">
        <v>1503306.81</v>
      </c>
      <c r="C13">
        <v>1666</v>
      </c>
      <c r="D13">
        <v>902.34502400960298</v>
      </c>
    </row>
    <row r="14" spans="1:4" x14ac:dyDescent="0.25">
      <c r="A14" s="12">
        <v>40878</v>
      </c>
      <c r="B14">
        <v>467655.58</v>
      </c>
      <c r="C14">
        <v>614</v>
      </c>
      <c r="D14">
        <v>761.65403908794701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B458-7486-4D6B-BA63-178DA38C44FE}">
  <dimension ref="A1:B14"/>
  <sheetViews>
    <sheetView workbookViewId="0">
      <selection activeCell="N5" sqref="N5"/>
    </sheetView>
  </sheetViews>
  <sheetFormatPr defaultRowHeight="15" x14ac:dyDescent="0.25"/>
  <cols>
    <col min="1" max="1" width="16" bestFit="1" customWidth="1"/>
    <col min="2" max="2" width="13.5703125" bestFit="1" customWidth="1"/>
  </cols>
  <sheetData>
    <row r="1" spans="1:2" x14ac:dyDescent="0.25">
      <c r="A1" t="s">
        <v>0</v>
      </c>
      <c r="B1" t="s">
        <v>50</v>
      </c>
    </row>
    <row r="2" spans="1:2" x14ac:dyDescent="0.25">
      <c r="A2" s="12">
        <v>40513</v>
      </c>
      <c r="B2">
        <v>885</v>
      </c>
    </row>
    <row r="3" spans="1:2" x14ac:dyDescent="0.25">
      <c r="A3" s="12">
        <v>40544</v>
      </c>
      <c r="B3">
        <v>417</v>
      </c>
    </row>
    <row r="4" spans="1:2" x14ac:dyDescent="0.25">
      <c r="A4" s="12">
        <v>40575</v>
      </c>
      <c r="B4">
        <v>380</v>
      </c>
    </row>
    <row r="5" spans="1:2" x14ac:dyDescent="0.25">
      <c r="A5" s="12">
        <v>40603</v>
      </c>
      <c r="B5">
        <v>451</v>
      </c>
    </row>
    <row r="6" spans="1:2" x14ac:dyDescent="0.25">
      <c r="A6" s="12">
        <v>40634</v>
      </c>
      <c r="B6">
        <v>300</v>
      </c>
    </row>
    <row r="7" spans="1:2" x14ac:dyDescent="0.25">
      <c r="A7" s="12">
        <v>40664</v>
      </c>
      <c r="B7">
        <v>284</v>
      </c>
    </row>
    <row r="8" spans="1:2" x14ac:dyDescent="0.25">
      <c r="A8" s="12">
        <v>40695</v>
      </c>
      <c r="B8">
        <v>242</v>
      </c>
    </row>
    <row r="9" spans="1:2" x14ac:dyDescent="0.25">
      <c r="A9" s="12">
        <v>40725</v>
      </c>
      <c r="B9">
        <v>188</v>
      </c>
    </row>
    <row r="10" spans="1:2" x14ac:dyDescent="0.25">
      <c r="A10" s="12">
        <v>40756</v>
      </c>
      <c r="B10">
        <v>169</v>
      </c>
    </row>
    <row r="11" spans="1:2" x14ac:dyDescent="0.25">
      <c r="A11" s="12">
        <v>40787</v>
      </c>
      <c r="B11">
        <v>299</v>
      </c>
    </row>
    <row r="12" spans="1:2" x14ac:dyDescent="0.25">
      <c r="A12" s="12">
        <v>40817</v>
      </c>
      <c r="B12">
        <v>358</v>
      </c>
    </row>
    <row r="13" spans="1:2" x14ac:dyDescent="0.25">
      <c r="A13" s="12">
        <v>40848</v>
      </c>
      <c r="B13">
        <v>324</v>
      </c>
    </row>
    <row r="14" spans="1:2" x14ac:dyDescent="0.25">
      <c r="A14" s="12">
        <v>40878</v>
      </c>
      <c r="B14">
        <v>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AB91-1BA0-4A72-BAE0-F7951D596CE1}">
  <dimension ref="A3:N17"/>
  <sheetViews>
    <sheetView workbookViewId="0">
      <selection activeCell="H29" sqref="H29"/>
    </sheetView>
  </sheetViews>
  <sheetFormatPr defaultRowHeight="15" x14ac:dyDescent="0.25"/>
  <cols>
    <col min="1" max="1" width="27" bestFit="1" customWidth="1"/>
    <col min="2" max="2" width="16.85546875" bestFit="1" customWidth="1"/>
    <col min="3" max="15" width="12" bestFit="1" customWidth="1"/>
  </cols>
  <sheetData>
    <row r="3" spans="1:14" x14ac:dyDescent="0.25">
      <c r="A3" s="4" t="s">
        <v>21</v>
      </c>
      <c r="B3" s="4" t="s">
        <v>18</v>
      </c>
    </row>
    <row r="4" spans="1:14" x14ac:dyDescent="0.25">
      <c r="A4" s="4" t="s">
        <v>17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</row>
    <row r="5" spans="1:14" x14ac:dyDescent="0.25">
      <c r="A5" s="5">
        <v>40513</v>
      </c>
      <c r="B5" s="9">
        <v>923.74767231638396</v>
      </c>
      <c r="C5" s="9">
        <v>1368.41942372881</v>
      </c>
      <c r="D5" s="9">
        <v>1714.9074350282399</v>
      </c>
      <c r="E5" s="9">
        <v>2192.16298305084</v>
      </c>
      <c r="F5" s="9">
        <v>2498.03757062146</v>
      </c>
      <c r="G5" s="9">
        <v>2978.4534689265502</v>
      </c>
      <c r="H5" s="9">
        <v>3443.2537401129898</v>
      </c>
      <c r="I5" s="9">
        <v>3926.2651638418001</v>
      </c>
      <c r="J5" s="9">
        <v>4402.3220225988698</v>
      </c>
      <c r="K5" s="9">
        <v>5051.8081468926503</v>
      </c>
      <c r="L5" s="9">
        <v>5695.1774689265503</v>
      </c>
      <c r="M5" s="9">
        <v>6664.7658531073403</v>
      </c>
      <c r="N5" s="9">
        <v>7008.8889830508397</v>
      </c>
    </row>
    <row r="6" spans="1:14" x14ac:dyDescent="0.25">
      <c r="A6" s="5">
        <v>40544</v>
      </c>
      <c r="B6" s="9">
        <v>698.61354916067103</v>
      </c>
      <c r="C6" s="9">
        <v>829.05069544364505</v>
      </c>
      <c r="D6" s="9">
        <v>978.77498800959199</v>
      </c>
      <c r="E6" s="9">
        <v>1148.4247961630599</v>
      </c>
      <c r="F6" s="9">
        <v>1339.7775539568299</v>
      </c>
      <c r="G6" s="9">
        <v>1541.5819424460401</v>
      </c>
      <c r="H6" s="9">
        <v>1708.3077218225401</v>
      </c>
      <c r="I6" s="9">
        <v>1882.3179376498799</v>
      </c>
      <c r="J6" s="9">
        <v>2053.2758776978399</v>
      </c>
      <c r="K6" s="9">
        <v>2320.6600983213398</v>
      </c>
      <c r="L6" s="9">
        <v>2616.3493069544302</v>
      </c>
      <c r="M6" s="9">
        <v>2679.6425923261299</v>
      </c>
      <c r="N6" s="9"/>
    </row>
    <row r="7" spans="1:14" x14ac:dyDescent="0.25">
      <c r="A7" s="5">
        <v>40575</v>
      </c>
      <c r="B7" s="9">
        <v>413.48307894736803</v>
      </c>
      <c r="C7" s="9">
        <v>489.49239473684202</v>
      </c>
      <c r="D7" s="9">
        <v>596.763763157894</v>
      </c>
      <c r="E7" s="9">
        <v>722.96781578947298</v>
      </c>
      <c r="F7" s="9">
        <v>827.96602631578901</v>
      </c>
      <c r="G7" s="9">
        <v>916.91102631578894</v>
      </c>
      <c r="H7" s="9">
        <v>1047.41286842105</v>
      </c>
      <c r="I7" s="9">
        <v>1211.3417368421001</v>
      </c>
      <c r="J7" s="9">
        <v>1356.6547105263101</v>
      </c>
      <c r="K7" s="9">
        <v>1526.7941842105199</v>
      </c>
      <c r="L7" s="9">
        <v>1554.64844736842</v>
      </c>
      <c r="M7" s="9"/>
      <c r="N7" s="9"/>
    </row>
    <row r="8" spans="1:14" x14ac:dyDescent="0.25">
      <c r="A8" s="5">
        <v>40603</v>
      </c>
      <c r="B8" s="9">
        <v>440.54833702882399</v>
      </c>
      <c r="C8" s="9">
        <v>506.531973392461</v>
      </c>
      <c r="D8" s="9">
        <v>636.94461197339206</v>
      </c>
      <c r="E8" s="9">
        <v>731.41962305986601</v>
      </c>
      <c r="F8" s="9">
        <v>845.71206208425701</v>
      </c>
      <c r="G8" s="9">
        <v>933.70815964523194</v>
      </c>
      <c r="H8" s="9">
        <v>1076.9399778270499</v>
      </c>
      <c r="I8" s="9">
        <v>1233.69541019955</v>
      </c>
      <c r="J8" s="9">
        <v>1391.43722838137</v>
      </c>
      <c r="K8" s="9">
        <v>1419.5551219512099</v>
      </c>
      <c r="L8" s="9"/>
      <c r="M8" s="9"/>
      <c r="N8" s="9"/>
    </row>
    <row r="9" spans="1:14" x14ac:dyDescent="0.25">
      <c r="A9" s="5">
        <v>40634</v>
      </c>
      <c r="B9" s="9">
        <v>403.12207000000001</v>
      </c>
      <c r="C9" s="9">
        <v>500.79183666666597</v>
      </c>
      <c r="D9" s="9">
        <v>583.701136666666</v>
      </c>
      <c r="E9" s="9">
        <v>664.48580333333302</v>
      </c>
      <c r="F9" s="9">
        <v>752.056103333333</v>
      </c>
      <c r="G9" s="9">
        <v>852.27850333333299</v>
      </c>
      <c r="H9" s="9">
        <v>946.965503333333</v>
      </c>
      <c r="I9" s="9">
        <v>1060.2686366666601</v>
      </c>
      <c r="J9" s="9">
        <v>1081.33433666666</v>
      </c>
      <c r="K9" s="9"/>
      <c r="L9" s="9"/>
      <c r="M9" s="9"/>
      <c r="N9" s="9"/>
    </row>
    <row r="10" spans="1:14" x14ac:dyDescent="0.25">
      <c r="A10" s="5">
        <v>40664</v>
      </c>
      <c r="B10" s="9">
        <v>435.33073943661901</v>
      </c>
      <c r="C10" s="9">
        <v>500.98735915492898</v>
      </c>
      <c r="D10" s="9">
        <v>570.13781690140797</v>
      </c>
      <c r="E10" s="9">
        <v>637.27454225352096</v>
      </c>
      <c r="F10" s="9">
        <v>735.17049295774598</v>
      </c>
      <c r="G10" s="9">
        <v>851.15253521126704</v>
      </c>
      <c r="H10" s="9">
        <v>968.20080985915399</v>
      </c>
      <c r="I10" s="9">
        <v>1006.04323943661</v>
      </c>
      <c r="J10" s="9"/>
      <c r="K10" s="9"/>
      <c r="L10" s="9"/>
      <c r="M10" s="9"/>
      <c r="N10" s="9"/>
    </row>
    <row r="11" spans="1:14" x14ac:dyDescent="0.25">
      <c r="A11" s="5">
        <v>40695</v>
      </c>
      <c r="B11" s="9">
        <v>558.42508264462799</v>
      </c>
      <c r="C11" s="9">
        <v>619.08842975206596</v>
      </c>
      <c r="D11" s="9">
        <v>677.266694214876</v>
      </c>
      <c r="E11" s="9">
        <v>804.632190082644</v>
      </c>
      <c r="F11" s="9">
        <v>915.04495867768503</v>
      </c>
      <c r="G11" s="9">
        <v>1091.44702479338</v>
      </c>
      <c r="H11" s="9">
        <v>1125.3439256198301</v>
      </c>
      <c r="I11" s="9"/>
      <c r="J11" s="9"/>
      <c r="K11" s="9"/>
      <c r="L11" s="9"/>
      <c r="M11" s="9"/>
      <c r="N11" s="9"/>
    </row>
    <row r="12" spans="1:14" x14ac:dyDescent="0.25">
      <c r="A12" s="5">
        <v>40725</v>
      </c>
      <c r="B12" s="9">
        <v>391.71245212765899</v>
      </c>
      <c r="C12" s="9">
        <v>453.55569680850999</v>
      </c>
      <c r="D12" s="9">
        <v>535.35649468085103</v>
      </c>
      <c r="E12" s="9">
        <v>627.44362234042501</v>
      </c>
      <c r="F12" s="9">
        <v>731.02096276595705</v>
      </c>
      <c r="G12" s="9">
        <v>763.28442021276499</v>
      </c>
      <c r="H12" s="9"/>
      <c r="I12" s="9"/>
      <c r="J12" s="9"/>
      <c r="K12" s="9"/>
      <c r="L12" s="9"/>
      <c r="M12" s="9"/>
      <c r="N12" s="9"/>
    </row>
    <row r="13" spans="1:14" x14ac:dyDescent="0.25">
      <c r="A13" s="5">
        <v>40756</v>
      </c>
      <c r="B13" s="9">
        <v>467.54875739644899</v>
      </c>
      <c r="C13" s="9">
        <v>590.84414201183404</v>
      </c>
      <c r="D13" s="9">
        <v>799.45958579881597</v>
      </c>
      <c r="E13" s="9">
        <v>1061.31840236686</v>
      </c>
      <c r="F13" s="9">
        <v>1150.9936094674499</v>
      </c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5">
        <v>40787</v>
      </c>
      <c r="B14" s="9">
        <v>517.81364882943103</v>
      </c>
      <c r="C14" s="9">
        <v>614.099434782608</v>
      </c>
      <c r="D14" s="9">
        <v>737.54120735785898</v>
      </c>
      <c r="E14" s="9">
        <v>778.62568896321</v>
      </c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5">
        <v>40817</v>
      </c>
      <c r="B15" s="9">
        <v>486.256675977653</v>
      </c>
      <c r="C15" s="9">
        <v>597.05189944133997</v>
      </c>
      <c r="D15" s="9">
        <v>632.077877094972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5">
        <v>40848</v>
      </c>
      <c r="B16" s="9">
        <v>419.44975308641898</v>
      </c>
      <c r="C16" s="9">
        <v>466.32820987654299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5">
        <v>40878</v>
      </c>
      <c r="B17" s="9">
        <v>657.18756097560902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</sheetData>
  <conditionalFormatting pivot="1" sqref="B5:N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C9CF-2AC4-4886-8BEE-87DF0F8A8433}">
  <dimension ref="A1:C92"/>
  <sheetViews>
    <sheetView workbookViewId="0">
      <selection activeCell="F33" sqref="F33"/>
    </sheetView>
  </sheetViews>
  <sheetFormatPr defaultRowHeight="15" x14ac:dyDescent="0.25"/>
  <cols>
    <col min="1" max="1" width="16" bestFit="1" customWidth="1"/>
    <col min="2" max="2" width="15" bestFit="1" customWidth="1"/>
    <col min="3" max="3" width="22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1">
        <v>40513</v>
      </c>
      <c r="B2">
        <v>0</v>
      </c>
      <c r="C2">
        <v>923.74767231638396</v>
      </c>
    </row>
    <row r="3" spans="1:3" x14ac:dyDescent="0.25">
      <c r="A3" s="1">
        <v>40513</v>
      </c>
      <c r="B3">
        <v>1</v>
      </c>
      <c r="C3">
        <v>1368.41942372881</v>
      </c>
    </row>
    <row r="4" spans="1:3" x14ac:dyDescent="0.25">
      <c r="A4" s="1">
        <v>40513</v>
      </c>
      <c r="B4">
        <v>2</v>
      </c>
      <c r="C4">
        <v>1714.9074350282399</v>
      </c>
    </row>
    <row r="5" spans="1:3" x14ac:dyDescent="0.25">
      <c r="A5" s="1">
        <v>40513</v>
      </c>
      <c r="B5">
        <v>3</v>
      </c>
      <c r="C5">
        <v>2192.16298305084</v>
      </c>
    </row>
    <row r="6" spans="1:3" x14ac:dyDescent="0.25">
      <c r="A6" s="1">
        <v>40513</v>
      </c>
      <c r="B6">
        <v>4</v>
      </c>
      <c r="C6">
        <v>2498.03757062146</v>
      </c>
    </row>
    <row r="7" spans="1:3" x14ac:dyDescent="0.25">
      <c r="A7" s="1">
        <v>40513</v>
      </c>
      <c r="B7">
        <v>5</v>
      </c>
      <c r="C7">
        <v>2978.4534689265502</v>
      </c>
    </row>
    <row r="8" spans="1:3" x14ac:dyDescent="0.25">
      <c r="A8" s="1">
        <v>40513</v>
      </c>
      <c r="B8">
        <v>6</v>
      </c>
      <c r="C8">
        <v>3443.2537401129898</v>
      </c>
    </row>
    <row r="9" spans="1:3" x14ac:dyDescent="0.25">
      <c r="A9" s="1">
        <v>40513</v>
      </c>
      <c r="B9">
        <v>7</v>
      </c>
      <c r="C9">
        <v>3926.2651638418001</v>
      </c>
    </row>
    <row r="10" spans="1:3" x14ac:dyDescent="0.25">
      <c r="A10" s="1">
        <v>40513</v>
      </c>
      <c r="B10">
        <v>8</v>
      </c>
      <c r="C10">
        <v>4402.3220225988698</v>
      </c>
    </row>
    <row r="11" spans="1:3" x14ac:dyDescent="0.25">
      <c r="A11" s="1">
        <v>40513</v>
      </c>
      <c r="B11">
        <v>9</v>
      </c>
      <c r="C11">
        <v>5051.8081468926503</v>
      </c>
    </row>
    <row r="12" spans="1:3" x14ac:dyDescent="0.25">
      <c r="A12" s="1">
        <v>40513</v>
      </c>
      <c r="B12">
        <v>10</v>
      </c>
      <c r="C12">
        <v>5695.1774689265503</v>
      </c>
    </row>
    <row r="13" spans="1:3" x14ac:dyDescent="0.25">
      <c r="A13" s="1">
        <v>40513</v>
      </c>
      <c r="B13">
        <v>11</v>
      </c>
      <c r="C13">
        <v>6664.7658531073403</v>
      </c>
    </row>
    <row r="14" spans="1:3" x14ac:dyDescent="0.25">
      <c r="A14" s="1">
        <v>40513</v>
      </c>
      <c r="B14">
        <v>12</v>
      </c>
      <c r="C14">
        <v>7008.8889830508397</v>
      </c>
    </row>
    <row r="15" spans="1:3" x14ac:dyDescent="0.25">
      <c r="A15" s="1">
        <v>40544</v>
      </c>
      <c r="B15">
        <v>0</v>
      </c>
      <c r="C15">
        <v>698.61354916067103</v>
      </c>
    </row>
    <row r="16" spans="1:3" x14ac:dyDescent="0.25">
      <c r="A16" s="1">
        <v>40544</v>
      </c>
      <c r="B16">
        <v>1</v>
      </c>
      <c r="C16">
        <v>829.05069544364505</v>
      </c>
    </row>
    <row r="17" spans="1:3" x14ac:dyDescent="0.25">
      <c r="A17" s="1">
        <v>40544</v>
      </c>
      <c r="B17">
        <v>2</v>
      </c>
      <c r="C17">
        <v>978.77498800959199</v>
      </c>
    </row>
    <row r="18" spans="1:3" x14ac:dyDescent="0.25">
      <c r="A18" s="1">
        <v>40544</v>
      </c>
      <c r="B18">
        <v>3</v>
      </c>
      <c r="C18">
        <v>1148.4247961630599</v>
      </c>
    </row>
    <row r="19" spans="1:3" x14ac:dyDescent="0.25">
      <c r="A19" s="1">
        <v>40544</v>
      </c>
      <c r="B19">
        <v>4</v>
      </c>
      <c r="C19">
        <v>1339.7775539568299</v>
      </c>
    </row>
    <row r="20" spans="1:3" x14ac:dyDescent="0.25">
      <c r="A20" s="1">
        <v>40544</v>
      </c>
      <c r="B20">
        <v>5</v>
      </c>
      <c r="C20">
        <v>1541.5819424460401</v>
      </c>
    </row>
    <row r="21" spans="1:3" x14ac:dyDescent="0.25">
      <c r="A21" s="1">
        <v>40544</v>
      </c>
      <c r="B21">
        <v>6</v>
      </c>
      <c r="C21">
        <v>1708.3077218225401</v>
      </c>
    </row>
    <row r="22" spans="1:3" x14ac:dyDescent="0.25">
      <c r="A22" s="1">
        <v>40544</v>
      </c>
      <c r="B22">
        <v>7</v>
      </c>
      <c r="C22">
        <v>1882.3179376498799</v>
      </c>
    </row>
    <row r="23" spans="1:3" x14ac:dyDescent="0.25">
      <c r="A23" s="1">
        <v>40544</v>
      </c>
      <c r="B23">
        <v>8</v>
      </c>
      <c r="C23">
        <v>2053.2758776978399</v>
      </c>
    </row>
    <row r="24" spans="1:3" x14ac:dyDescent="0.25">
      <c r="A24" s="1">
        <v>40544</v>
      </c>
      <c r="B24">
        <v>9</v>
      </c>
      <c r="C24">
        <v>2320.6600983213398</v>
      </c>
    </row>
    <row r="25" spans="1:3" x14ac:dyDescent="0.25">
      <c r="A25" s="1">
        <v>40544</v>
      </c>
      <c r="B25">
        <v>10</v>
      </c>
      <c r="C25">
        <v>2616.3493069544302</v>
      </c>
    </row>
    <row r="26" spans="1:3" x14ac:dyDescent="0.25">
      <c r="A26" s="1">
        <v>40544</v>
      </c>
      <c r="B26">
        <v>11</v>
      </c>
      <c r="C26">
        <v>2679.6425923261299</v>
      </c>
    </row>
    <row r="27" spans="1:3" x14ac:dyDescent="0.25">
      <c r="A27" s="1">
        <v>40575</v>
      </c>
      <c r="B27">
        <v>0</v>
      </c>
      <c r="C27">
        <v>413.48307894736803</v>
      </c>
    </row>
    <row r="28" spans="1:3" x14ac:dyDescent="0.25">
      <c r="A28" s="1">
        <v>40575</v>
      </c>
      <c r="B28">
        <v>1</v>
      </c>
      <c r="C28">
        <v>489.49239473684202</v>
      </c>
    </row>
    <row r="29" spans="1:3" x14ac:dyDescent="0.25">
      <c r="A29" s="1">
        <v>40575</v>
      </c>
      <c r="B29">
        <v>2</v>
      </c>
      <c r="C29">
        <v>596.763763157894</v>
      </c>
    </row>
    <row r="30" spans="1:3" x14ac:dyDescent="0.25">
      <c r="A30" s="1">
        <v>40575</v>
      </c>
      <c r="B30">
        <v>3</v>
      </c>
      <c r="C30">
        <v>722.96781578947298</v>
      </c>
    </row>
    <row r="31" spans="1:3" x14ac:dyDescent="0.25">
      <c r="A31" s="1">
        <v>40575</v>
      </c>
      <c r="B31">
        <v>4</v>
      </c>
      <c r="C31">
        <v>827.96602631578901</v>
      </c>
    </row>
    <row r="32" spans="1:3" x14ac:dyDescent="0.25">
      <c r="A32" s="1">
        <v>40575</v>
      </c>
      <c r="B32">
        <v>5</v>
      </c>
      <c r="C32">
        <v>916.91102631578894</v>
      </c>
    </row>
    <row r="33" spans="1:3" x14ac:dyDescent="0.25">
      <c r="A33" s="1">
        <v>40575</v>
      </c>
      <c r="B33">
        <v>6</v>
      </c>
      <c r="C33">
        <v>1047.41286842105</v>
      </c>
    </row>
    <row r="34" spans="1:3" x14ac:dyDescent="0.25">
      <c r="A34" s="1">
        <v>40575</v>
      </c>
      <c r="B34">
        <v>7</v>
      </c>
      <c r="C34">
        <v>1211.3417368421001</v>
      </c>
    </row>
    <row r="35" spans="1:3" x14ac:dyDescent="0.25">
      <c r="A35" s="1">
        <v>40575</v>
      </c>
      <c r="B35">
        <v>8</v>
      </c>
      <c r="C35">
        <v>1356.6547105263101</v>
      </c>
    </row>
    <row r="36" spans="1:3" x14ac:dyDescent="0.25">
      <c r="A36" s="1">
        <v>40575</v>
      </c>
      <c r="B36">
        <v>9</v>
      </c>
      <c r="C36">
        <v>1526.7941842105199</v>
      </c>
    </row>
    <row r="37" spans="1:3" x14ac:dyDescent="0.25">
      <c r="A37" s="1">
        <v>40575</v>
      </c>
      <c r="B37">
        <v>10</v>
      </c>
      <c r="C37">
        <v>1554.64844736842</v>
      </c>
    </row>
    <row r="38" spans="1:3" x14ac:dyDescent="0.25">
      <c r="A38" s="1">
        <v>40603</v>
      </c>
      <c r="B38">
        <v>0</v>
      </c>
      <c r="C38">
        <v>440.54833702882399</v>
      </c>
    </row>
    <row r="39" spans="1:3" x14ac:dyDescent="0.25">
      <c r="A39" s="1">
        <v>40603</v>
      </c>
      <c r="B39">
        <v>1</v>
      </c>
      <c r="C39">
        <v>506.531973392461</v>
      </c>
    </row>
    <row r="40" spans="1:3" x14ac:dyDescent="0.25">
      <c r="A40" s="1">
        <v>40603</v>
      </c>
      <c r="B40">
        <v>2</v>
      </c>
      <c r="C40">
        <v>636.94461197339206</v>
      </c>
    </row>
    <row r="41" spans="1:3" x14ac:dyDescent="0.25">
      <c r="A41" s="1">
        <v>40603</v>
      </c>
      <c r="B41">
        <v>3</v>
      </c>
      <c r="C41">
        <v>731.41962305986601</v>
      </c>
    </row>
    <row r="42" spans="1:3" x14ac:dyDescent="0.25">
      <c r="A42" s="1">
        <v>40603</v>
      </c>
      <c r="B42">
        <v>4</v>
      </c>
      <c r="C42">
        <v>845.71206208425701</v>
      </c>
    </row>
    <row r="43" spans="1:3" x14ac:dyDescent="0.25">
      <c r="A43" s="1">
        <v>40603</v>
      </c>
      <c r="B43">
        <v>5</v>
      </c>
      <c r="C43">
        <v>933.70815964523194</v>
      </c>
    </row>
    <row r="44" spans="1:3" x14ac:dyDescent="0.25">
      <c r="A44" s="1">
        <v>40603</v>
      </c>
      <c r="B44">
        <v>6</v>
      </c>
      <c r="C44">
        <v>1076.9399778270499</v>
      </c>
    </row>
    <row r="45" spans="1:3" x14ac:dyDescent="0.25">
      <c r="A45" s="1">
        <v>40603</v>
      </c>
      <c r="B45">
        <v>7</v>
      </c>
      <c r="C45">
        <v>1233.69541019955</v>
      </c>
    </row>
    <row r="46" spans="1:3" x14ac:dyDescent="0.25">
      <c r="A46" s="1">
        <v>40603</v>
      </c>
      <c r="B46">
        <v>8</v>
      </c>
      <c r="C46">
        <v>1391.43722838137</v>
      </c>
    </row>
    <row r="47" spans="1:3" x14ac:dyDescent="0.25">
      <c r="A47" s="1">
        <v>40603</v>
      </c>
      <c r="B47">
        <v>9</v>
      </c>
      <c r="C47">
        <v>1419.5551219512099</v>
      </c>
    </row>
    <row r="48" spans="1:3" x14ac:dyDescent="0.25">
      <c r="A48" s="1">
        <v>40634</v>
      </c>
      <c r="B48">
        <v>0</v>
      </c>
      <c r="C48">
        <v>403.12207000000001</v>
      </c>
    </row>
    <row r="49" spans="1:3" x14ac:dyDescent="0.25">
      <c r="A49" s="1">
        <v>40634</v>
      </c>
      <c r="B49">
        <v>1</v>
      </c>
      <c r="C49">
        <v>500.79183666666597</v>
      </c>
    </row>
    <row r="50" spans="1:3" x14ac:dyDescent="0.25">
      <c r="A50" s="1">
        <v>40634</v>
      </c>
      <c r="B50">
        <v>2</v>
      </c>
      <c r="C50">
        <v>583.701136666666</v>
      </c>
    </row>
    <row r="51" spans="1:3" x14ac:dyDescent="0.25">
      <c r="A51" s="1">
        <v>40634</v>
      </c>
      <c r="B51">
        <v>3</v>
      </c>
      <c r="C51">
        <v>664.48580333333302</v>
      </c>
    </row>
    <row r="52" spans="1:3" x14ac:dyDescent="0.25">
      <c r="A52" s="1">
        <v>40634</v>
      </c>
      <c r="B52">
        <v>4</v>
      </c>
      <c r="C52">
        <v>752.056103333333</v>
      </c>
    </row>
    <row r="53" spans="1:3" x14ac:dyDescent="0.25">
      <c r="A53" s="1">
        <v>40634</v>
      </c>
      <c r="B53">
        <v>5</v>
      </c>
      <c r="C53">
        <v>852.27850333333299</v>
      </c>
    </row>
    <row r="54" spans="1:3" x14ac:dyDescent="0.25">
      <c r="A54" s="1">
        <v>40634</v>
      </c>
      <c r="B54">
        <v>6</v>
      </c>
      <c r="C54">
        <v>946.965503333333</v>
      </c>
    </row>
    <row r="55" spans="1:3" x14ac:dyDescent="0.25">
      <c r="A55" s="1">
        <v>40634</v>
      </c>
      <c r="B55">
        <v>7</v>
      </c>
      <c r="C55">
        <v>1060.2686366666601</v>
      </c>
    </row>
    <row r="56" spans="1:3" x14ac:dyDescent="0.25">
      <c r="A56" s="1">
        <v>40634</v>
      </c>
      <c r="B56">
        <v>8</v>
      </c>
      <c r="C56">
        <v>1081.33433666666</v>
      </c>
    </row>
    <row r="57" spans="1:3" x14ac:dyDescent="0.25">
      <c r="A57" s="1">
        <v>40664</v>
      </c>
      <c r="B57">
        <v>0</v>
      </c>
      <c r="C57">
        <v>435.33073943661901</v>
      </c>
    </row>
    <row r="58" spans="1:3" x14ac:dyDescent="0.25">
      <c r="A58" s="1">
        <v>40664</v>
      </c>
      <c r="B58">
        <v>1</v>
      </c>
      <c r="C58">
        <v>500.98735915492898</v>
      </c>
    </row>
    <row r="59" spans="1:3" x14ac:dyDescent="0.25">
      <c r="A59" s="1">
        <v>40664</v>
      </c>
      <c r="B59">
        <v>2</v>
      </c>
      <c r="C59">
        <v>570.13781690140797</v>
      </c>
    </row>
    <row r="60" spans="1:3" x14ac:dyDescent="0.25">
      <c r="A60" s="1">
        <v>40664</v>
      </c>
      <c r="B60">
        <v>3</v>
      </c>
      <c r="C60">
        <v>637.27454225352096</v>
      </c>
    </row>
    <row r="61" spans="1:3" x14ac:dyDescent="0.25">
      <c r="A61" s="1">
        <v>40664</v>
      </c>
      <c r="B61">
        <v>4</v>
      </c>
      <c r="C61">
        <v>735.17049295774598</v>
      </c>
    </row>
    <row r="62" spans="1:3" x14ac:dyDescent="0.25">
      <c r="A62" s="1">
        <v>40664</v>
      </c>
      <c r="B62">
        <v>5</v>
      </c>
      <c r="C62">
        <v>851.15253521126704</v>
      </c>
    </row>
    <row r="63" spans="1:3" x14ac:dyDescent="0.25">
      <c r="A63" s="1">
        <v>40664</v>
      </c>
      <c r="B63">
        <v>6</v>
      </c>
      <c r="C63">
        <v>968.20080985915399</v>
      </c>
    </row>
    <row r="64" spans="1:3" x14ac:dyDescent="0.25">
      <c r="A64" s="1">
        <v>40664</v>
      </c>
      <c r="B64">
        <v>7</v>
      </c>
      <c r="C64">
        <v>1006.04323943661</v>
      </c>
    </row>
    <row r="65" spans="1:3" x14ac:dyDescent="0.25">
      <c r="A65" s="1">
        <v>40695</v>
      </c>
      <c r="B65">
        <v>0</v>
      </c>
      <c r="C65">
        <v>558.42508264462799</v>
      </c>
    </row>
    <row r="66" spans="1:3" x14ac:dyDescent="0.25">
      <c r="A66" s="1">
        <v>40695</v>
      </c>
      <c r="B66">
        <v>1</v>
      </c>
      <c r="C66">
        <v>619.08842975206596</v>
      </c>
    </row>
    <row r="67" spans="1:3" x14ac:dyDescent="0.25">
      <c r="A67" s="1">
        <v>40695</v>
      </c>
      <c r="B67">
        <v>2</v>
      </c>
      <c r="C67">
        <v>677.266694214876</v>
      </c>
    </row>
    <row r="68" spans="1:3" x14ac:dyDescent="0.25">
      <c r="A68" s="1">
        <v>40695</v>
      </c>
      <c r="B68">
        <v>3</v>
      </c>
      <c r="C68">
        <v>804.632190082644</v>
      </c>
    </row>
    <row r="69" spans="1:3" x14ac:dyDescent="0.25">
      <c r="A69" s="1">
        <v>40695</v>
      </c>
      <c r="B69">
        <v>4</v>
      </c>
      <c r="C69">
        <v>915.04495867768503</v>
      </c>
    </row>
    <row r="70" spans="1:3" x14ac:dyDescent="0.25">
      <c r="A70" s="1">
        <v>40695</v>
      </c>
      <c r="B70">
        <v>5</v>
      </c>
      <c r="C70">
        <v>1091.44702479338</v>
      </c>
    </row>
    <row r="71" spans="1:3" x14ac:dyDescent="0.25">
      <c r="A71" s="1">
        <v>40695</v>
      </c>
      <c r="B71">
        <v>6</v>
      </c>
      <c r="C71">
        <v>1125.3439256198301</v>
      </c>
    </row>
    <row r="72" spans="1:3" x14ac:dyDescent="0.25">
      <c r="A72" s="1">
        <v>40725</v>
      </c>
      <c r="B72">
        <v>0</v>
      </c>
      <c r="C72">
        <v>391.71245212765899</v>
      </c>
    </row>
    <row r="73" spans="1:3" x14ac:dyDescent="0.25">
      <c r="A73" s="1">
        <v>40725</v>
      </c>
      <c r="B73">
        <v>1</v>
      </c>
      <c r="C73">
        <v>453.55569680850999</v>
      </c>
    </row>
    <row r="74" spans="1:3" x14ac:dyDescent="0.25">
      <c r="A74" s="1">
        <v>40725</v>
      </c>
      <c r="B74">
        <v>2</v>
      </c>
      <c r="C74">
        <v>535.35649468085103</v>
      </c>
    </row>
    <row r="75" spans="1:3" x14ac:dyDescent="0.25">
      <c r="A75" s="1">
        <v>40725</v>
      </c>
      <c r="B75">
        <v>3</v>
      </c>
      <c r="C75">
        <v>627.44362234042501</v>
      </c>
    </row>
    <row r="76" spans="1:3" x14ac:dyDescent="0.25">
      <c r="A76" s="1">
        <v>40725</v>
      </c>
      <c r="B76">
        <v>4</v>
      </c>
      <c r="C76">
        <v>731.02096276595705</v>
      </c>
    </row>
    <row r="77" spans="1:3" x14ac:dyDescent="0.25">
      <c r="A77" s="1">
        <v>40725</v>
      </c>
      <c r="B77">
        <v>5</v>
      </c>
      <c r="C77">
        <v>763.28442021276499</v>
      </c>
    </row>
    <row r="78" spans="1:3" x14ac:dyDescent="0.25">
      <c r="A78" s="1">
        <v>40756</v>
      </c>
      <c r="B78">
        <v>0</v>
      </c>
      <c r="C78">
        <v>467.54875739644899</v>
      </c>
    </row>
    <row r="79" spans="1:3" x14ac:dyDescent="0.25">
      <c r="A79" s="1">
        <v>40756</v>
      </c>
      <c r="B79">
        <v>1</v>
      </c>
      <c r="C79">
        <v>590.84414201183404</v>
      </c>
    </row>
    <row r="80" spans="1:3" x14ac:dyDescent="0.25">
      <c r="A80" s="1">
        <v>40756</v>
      </c>
      <c r="B80">
        <v>2</v>
      </c>
      <c r="C80">
        <v>799.45958579881597</v>
      </c>
    </row>
    <row r="81" spans="1:3" x14ac:dyDescent="0.25">
      <c r="A81" s="1">
        <v>40756</v>
      </c>
      <c r="B81">
        <v>3</v>
      </c>
      <c r="C81">
        <v>1061.31840236686</v>
      </c>
    </row>
    <row r="82" spans="1:3" x14ac:dyDescent="0.25">
      <c r="A82" s="1">
        <v>40756</v>
      </c>
      <c r="B82">
        <v>4</v>
      </c>
      <c r="C82">
        <v>1150.9936094674499</v>
      </c>
    </row>
    <row r="83" spans="1:3" x14ac:dyDescent="0.25">
      <c r="A83" s="1">
        <v>40787</v>
      </c>
      <c r="B83">
        <v>0</v>
      </c>
      <c r="C83">
        <v>517.81364882943103</v>
      </c>
    </row>
    <row r="84" spans="1:3" x14ac:dyDescent="0.25">
      <c r="A84" s="1">
        <v>40787</v>
      </c>
      <c r="B84">
        <v>1</v>
      </c>
      <c r="C84">
        <v>614.099434782608</v>
      </c>
    </row>
    <row r="85" spans="1:3" x14ac:dyDescent="0.25">
      <c r="A85" s="1">
        <v>40787</v>
      </c>
      <c r="B85">
        <v>2</v>
      </c>
      <c r="C85">
        <v>737.54120735785898</v>
      </c>
    </row>
    <row r="86" spans="1:3" x14ac:dyDescent="0.25">
      <c r="A86" s="1">
        <v>40787</v>
      </c>
      <c r="B86">
        <v>3</v>
      </c>
      <c r="C86">
        <v>778.62568896321</v>
      </c>
    </row>
    <row r="87" spans="1:3" x14ac:dyDescent="0.25">
      <c r="A87" s="1">
        <v>40817</v>
      </c>
      <c r="B87">
        <v>0</v>
      </c>
      <c r="C87">
        <v>486.256675977653</v>
      </c>
    </row>
    <row r="88" spans="1:3" x14ac:dyDescent="0.25">
      <c r="A88" s="1">
        <v>40817</v>
      </c>
      <c r="B88">
        <v>1</v>
      </c>
      <c r="C88">
        <v>597.05189944133997</v>
      </c>
    </row>
    <row r="89" spans="1:3" x14ac:dyDescent="0.25">
      <c r="A89" s="1">
        <v>40817</v>
      </c>
      <c r="B89">
        <v>2</v>
      </c>
      <c r="C89">
        <v>632.077877094972</v>
      </c>
    </row>
    <row r="90" spans="1:3" x14ac:dyDescent="0.25">
      <c r="A90" s="1">
        <v>40848</v>
      </c>
      <c r="B90">
        <v>0</v>
      </c>
      <c r="C90">
        <v>419.44975308641898</v>
      </c>
    </row>
    <row r="91" spans="1:3" x14ac:dyDescent="0.25">
      <c r="A91" s="1">
        <v>40848</v>
      </c>
      <c r="B91">
        <v>1</v>
      </c>
      <c r="C91">
        <v>466.32820987654299</v>
      </c>
    </row>
    <row r="92" spans="1:3" x14ac:dyDescent="0.25">
      <c r="A92" s="1">
        <v>40878</v>
      </c>
      <c r="B92">
        <v>0</v>
      </c>
      <c r="C92">
        <v>657.18756097560902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84CC-578F-4C3E-9910-5DF73401E231}">
  <dimension ref="A1:D92"/>
  <sheetViews>
    <sheetView topLeftCell="A4" workbookViewId="0">
      <selection activeCell="R21" sqref="R21"/>
    </sheetView>
  </sheetViews>
  <sheetFormatPr defaultRowHeight="15" x14ac:dyDescent="0.25"/>
  <cols>
    <col min="1" max="1" width="16" bestFit="1" customWidth="1"/>
    <col min="2" max="2" width="15" bestFit="1" customWidth="1"/>
    <col min="3" max="3" width="12.85546875" bestFit="1" customWidth="1"/>
    <col min="4" max="4" width="1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40513</v>
      </c>
      <c r="B2" t="s">
        <v>4</v>
      </c>
      <c r="C2">
        <v>885</v>
      </c>
      <c r="D2">
        <v>1</v>
      </c>
    </row>
    <row r="3" spans="1:4" x14ac:dyDescent="0.25">
      <c r="A3" s="1">
        <v>40513</v>
      </c>
      <c r="B3" t="s">
        <v>5</v>
      </c>
      <c r="C3">
        <v>325</v>
      </c>
      <c r="D3">
        <v>0.36699999999999999</v>
      </c>
    </row>
    <row r="4" spans="1:4" x14ac:dyDescent="0.25">
      <c r="A4" s="1">
        <v>40513</v>
      </c>
      <c r="B4" t="s">
        <v>6</v>
      </c>
      <c r="C4">
        <v>287</v>
      </c>
      <c r="D4">
        <v>0.32400000000000001</v>
      </c>
    </row>
    <row r="5" spans="1:4" x14ac:dyDescent="0.25">
      <c r="A5" s="1">
        <v>40513</v>
      </c>
      <c r="B5" t="s">
        <v>7</v>
      </c>
      <c r="C5">
        <v>341</v>
      </c>
      <c r="D5">
        <v>0.38500000000000001</v>
      </c>
    </row>
    <row r="6" spans="1:4" x14ac:dyDescent="0.25">
      <c r="A6" s="1">
        <v>40513</v>
      </c>
      <c r="B6" t="s">
        <v>8</v>
      </c>
      <c r="C6">
        <v>322</v>
      </c>
      <c r="D6">
        <v>0.36399999999999999</v>
      </c>
    </row>
    <row r="7" spans="1:4" x14ac:dyDescent="0.25">
      <c r="A7" s="1">
        <v>40513</v>
      </c>
      <c r="B7" t="s">
        <v>9</v>
      </c>
      <c r="C7">
        <v>353</v>
      </c>
      <c r="D7">
        <v>0.39900000000000002</v>
      </c>
    </row>
    <row r="8" spans="1:4" x14ac:dyDescent="0.25">
      <c r="A8" s="1">
        <v>40513</v>
      </c>
      <c r="B8" t="s">
        <v>10</v>
      </c>
      <c r="C8">
        <v>322</v>
      </c>
      <c r="D8">
        <v>0.36399999999999999</v>
      </c>
    </row>
    <row r="9" spans="1:4" x14ac:dyDescent="0.25">
      <c r="A9" s="1">
        <v>40513</v>
      </c>
      <c r="B9" t="s">
        <v>11</v>
      </c>
      <c r="C9">
        <v>310</v>
      </c>
      <c r="D9">
        <v>0.35</v>
      </c>
    </row>
    <row r="10" spans="1:4" x14ac:dyDescent="0.25">
      <c r="A10" s="1">
        <v>40513</v>
      </c>
      <c r="B10" t="s">
        <v>12</v>
      </c>
      <c r="C10">
        <v>313</v>
      </c>
      <c r="D10">
        <v>0.35399999999999998</v>
      </c>
    </row>
    <row r="11" spans="1:4" x14ac:dyDescent="0.25">
      <c r="A11" s="1">
        <v>40513</v>
      </c>
      <c r="B11" t="s">
        <v>13</v>
      </c>
      <c r="C11">
        <v>351</v>
      </c>
      <c r="D11">
        <v>0.39700000000000002</v>
      </c>
    </row>
    <row r="12" spans="1:4" x14ac:dyDescent="0.25">
      <c r="A12" s="1">
        <v>40513</v>
      </c>
      <c r="B12" t="s">
        <v>14</v>
      </c>
      <c r="C12">
        <v>332</v>
      </c>
      <c r="D12">
        <v>0.375</v>
      </c>
    </row>
    <row r="13" spans="1:4" x14ac:dyDescent="0.25">
      <c r="A13" s="1">
        <v>40513</v>
      </c>
      <c r="B13" t="s">
        <v>15</v>
      </c>
      <c r="C13">
        <v>446</v>
      </c>
      <c r="D13">
        <v>0.504</v>
      </c>
    </row>
    <row r="14" spans="1:4" x14ac:dyDescent="0.25">
      <c r="A14" s="1">
        <v>40513</v>
      </c>
      <c r="B14" t="s">
        <v>16</v>
      </c>
      <c r="C14">
        <v>236</v>
      </c>
      <c r="D14">
        <v>0.26700000000000002</v>
      </c>
    </row>
    <row r="15" spans="1:4" x14ac:dyDescent="0.25">
      <c r="A15" s="1">
        <v>40544</v>
      </c>
      <c r="B15" t="s">
        <v>4</v>
      </c>
      <c r="C15">
        <v>417</v>
      </c>
      <c r="D15">
        <v>1</v>
      </c>
    </row>
    <row r="16" spans="1:4" x14ac:dyDescent="0.25">
      <c r="A16" s="1">
        <v>40544</v>
      </c>
      <c r="B16" t="s">
        <v>5</v>
      </c>
      <c r="C16">
        <v>92</v>
      </c>
      <c r="D16">
        <v>0.221</v>
      </c>
    </row>
    <row r="17" spans="1:4" x14ac:dyDescent="0.25">
      <c r="A17" s="1">
        <v>40544</v>
      </c>
      <c r="B17" t="s">
        <v>6</v>
      </c>
      <c r="C17">
        <v>111</v>
      </c>
      <c r="D17">
        <v>0.26600000000000001</v>
      </c>
    </row>
    <row r="18" spans="1:4" x14ac:dyDescent="0.25">
      <c r="A18" s="1">
        <v>40544</v>
      </c>
      <c r="B18" t="s">
        <v>7</v>
      </c>
      <c r="C18">
        <v>96</v>
      </c>
      <c r="D18">
        <v>0.23</v>
      </c>
    </row>
    <row r="19" spans="1:4" x14ac:dyDescent="0.25">
      <c r="A19" s="1">
        <v>40544</v>
      </c>
      <c r="B19" t="s">
        <v>8</v>
      </c>
      <c r="C19">
        <v>134</v>
      </c>
      <c r="D19">
        <v>0.32100000000000001</v>
      </c>
    </row>
    <row r="20" spans="1:4" x14ac:dyDescent="0.25">
      <c r="A20" s="1">
        <v>40544</v>
      </c>
      <c r="B20" t="s">
        <v>9</v>
      </c>
      <c r="C20">
        <v>120</v>
      </c>
      <c r="D20">
        <v>0.28799999999999998</v>
      </c>
    </row>
    <row r="21" spans="1:4" x14ac:dyDescent="0.25">
      <c r="A21" s="1">
        <v>40544</v>
      </c>
      <c r="B21" t="s">
        <v>10</v>
      </c>
      <c r="C21">
        <v>103</v>
      </c>
      <c r="D21">
        <v>0.247</v>
      </c>
    </row>
    <row r="22" spans="1:4" x14ac:dyDescent="0.25">
      <c r="A22" s="1">
        <v>40544</v>
      </c>
      <c r="B22" t="s">
        <v>11</v>
      </c>
      <c r="C22">
        <v>101</v>
      </c>
      <c r="D22">
        <v>0.24199999999999999</v>
      </c>
    </row>
    <row r="23" spans="1:4" x14ac:dyDescent="0.25">
      <c r="A23" s="1">
        <v>40544</v>
      </c>
      <c r="B23" t="s">
        <v>12</v>
      </c>
      <c r="C23">
        <v>125</v>
      </c>
      <c r="D23">
        <v>0.3</v>
      </c>
    </row>
    <row r="24" spans="1:4" x14ac:dyDescent="0.25">
      <c r="A24" s="1">
        <v>40544</v>
      </c>
      <c r="B24" t="s">
        <v>13</v>
      </c>
      <c r="C24">
        <v>136</v>
      </c>
      <c r="D24">
        <v>0.32600000000000001</v>
      </c>
    </row>
    <row r="25" spans="1:4" x14ac:dyDescent="0.25">
      <c r="A25" s="1">
        <v>40544</v>
      </c>
      <c r="B25" t="s">
        <v>14</v>
      </c>
      <c r="C25">
        <v>152</v>
      </c>
      <c r="D25">
        <v>0.36499999999999999</v>
      </c>
    </row>
    <row r="26" spans="1:4" x14ac:dyDescent="0.25">
      <c r="A26" s="1">
        <v>40544</v>
      </c>
      <c r="B26" t="s">
        <v>15</v>
      </c>
      <c r="C26">
        <v>49</v>
      </c>
      <c r="D26">
        <v>0.11799999999999999</v>
      </c>
    </row>
    <row r="27" spans="1:4" x14ac:dyDescent="0.25">
      <c r="A27" s="1">
        <v>40575</v>
      </c>
      <c r="B27" t="s">
        <v>4</v>
      </c>
      <c r="C27">
        <v>380</v>
      </c>
      <c r="D27">
        <v>1</v>
      </c>
    </row>
    <row r="28" spans="1:4" x14ac:dyDescent="0.25">
      <c r="A28" s="1">
        <v>40575</v>
      </c>
      <c r="B28" t="s">
        <v>5</v>
      </c>
      <c r="C28">
        <v>71</v>
      </c>
      <c r="D28">
        <v>0.187</v>
      </c>
    </row>
    <row r="29" spans="1:4" x14ac:dyDescent="0.25">
      <c r="A29" s="1">
        <v>40575</v>
      </c>
      <c r="B29" t="s">
        <v>6</v>
      </c>
      <c r="C29">
        <v>71</v>
      </c>
      <c r="D29">
        <v>0.187</v>
      </c>
    </row>
    <row r="30" spans="1:4" x14ac:dyDescent="0.25">
      <c r="A30" s="1">
        <v>40575</v>
      </c>
      <c r="B30" t="s">
        <v>7</v>
      </c>
      <c r="C30">
        <v>108</v>
      </c>
      <c r="D30">
        <v>0.28399999999999997</v>
      </c>
    </row>
    <row r="31" spans="1:4" x14ac:dyDescent="0.25">
      <c r="A31" s="1">
        <v>40575</v>
      </c>
      <c r="B31" t="s">
        <v>8</v>
      </c>
      <c r="C31">
        <v>103</v>
      </c>
      <c r="D31">
        <v>0.27100000000000002</v>
      </c>
    </row>
    <row r="32" spans="1:4" x14ac:dyDescent="0.25">
      <c r="A32" s="1">
        <v>40575</v>
      </c>
      <c r="B32" t="s">
        <v>9</v>
      </c>
      <c r="C32">
        <v>94</v>
      </c>
      <c r="D32">
        <v>0.247</v>
      </c>
    </row>
    <row r="33" spans="1:4" x14ac:dyDescent="0.25">
      <c r="A33" s="1">
        <v>40575</v>
      </c>
      <c r="B33" t="s">
        <v>10</v>
      </c>
      <c r="C33">
        <v>96</v>
      </c>
      <c r="D33">
        <v>0.253</v>
      </c>
    </row>
    <row r="34" spans="1:4" x14ac:dyDescent="0.25">
      <c r="A34" s="1">
        <v>40575</v>
      </c>
      <c r="B34" t="s">
        <v>11</v>
      </c>
      <c r="C34">
        <v>106</v>
      </c>
      <c r="D34">
        <v>0.27900000000000003</v>
      </c>
    </row>
    <row r="35" spans="1:4" x14ac:dyDescent="0.25">
      <c r="A35" s="1">
        <v>40575</v>
      </c>
      <c r="B35" t="s">
        <v>12</v>
      </c>
      <c r="C35">
        <v>94</v>
      </c>
      <c r="D35">
        <v>0.247</v>
      </c>
    </row>
    <row r="36" spans="1:4" x14ac:dyDescent="0.25">
      <c r="A36" s="1">
        <v>40575</v>
      </c>
      <c r="B36" t="s">
        <v>13</v>
      </c>
      <c r="C36">
        <v>116</v>
      </c>
      <c r="D36">
        <v>0.30499999999999999</v>
      </c>
    </row>
    <row r="37" spans="1:4" x14ac:dyDescent="0.25">
      <c r="A37" s="1">
        <v>40575</v>
      </c>
      <c r="B37" t="s">
        <v>14</v>
      </c>
      <c r="C37">
        <v>26</v>
      </c>
      <c r="D37">
        <v>6.8000000000000005E-2</v>
      </c>
    </row>
    <row r="38" spans="1:4" x14ac:dyDescent="0.25">
      <c r="A38" s="1">
        <v>40603</v>
      </c>
      <c r="B38" t="s">
        <v>4</v>
      </c>
      <c r="C38">
        <v>451</v>
      </c>
      <c r="D38">
        <v>1</v>
      </c>
    </row>
    <row r="39" spans="1:4" x14ac:dyDescent="0.25">
      <c r="A39" s="1">
        <v>40603</v>
      </c>
      <c r="B39" t="s">
        <v>5</v>
      </c>
      <c r="C39">
        <v>68</v>
      </c>
      <c r="D39">
        <v>0.151</v>
      </c>
    </row>
    <row r="40" spans="1:4" x14ac:dyDescent="0.25">
      <c r="A40" s="1">
        <v>40603</v>
      </c>
      <c r="B40" t="s">
        <v>6</v>
      </c>
      <c r="C40">
        <v>114</v>
      </c>
      <c r="D40">
        <v>0.253</v>
      </c>
    </row>
    <row r="41" spans="1:4" x14ac:dyDescent="0.25">
      <c r="A41" s="1">
        <v>40603</v>
      </c>
      <c r="B41" t="s">
        <v>7</v>
      </c>
      <c r="C41">
        <v>90</v>
      </c>
      <c r="D41">
        <v>0.2</v>
      </c>
    </row>
    <row r="42" spans="1:4" x14ac:dyDescent="0.25">
      <c r="A42" s="1">
        <v>40603</v>
      </c>
      <c r="B42" t="s">
        <v>8</v>
      </c>
      <c r="C42">
        <v>101</v>
      </c>
      <c r="D42">
        <v>0.224</v>
      </c>
    </row>
    <row r="43" spans="1:4" x14ac:dyDescent="0.25">
      <c r="A43" s="1">
        <v>40603</v>
      </c>
      <c r="B43" t="s">
        <v>9</v>
      </c>
      <c r="C43">
        <v>76</v>
      </c>
      <c r="D43">
        <v>0.16900000000000001</v>
      </c>
    </row>
    <row r="44" spans="1:4" x14ac:dyDescent="0.25">
      <c r="A44" s="1">
        <v>40603</v>
      </c>
      <c r="B44" t="s">
        <v>10</v>
      </c>
      <c r="C44">
        <v>120</v>
      </c>
      <c r="D44">
        <v>0.26600000000000001</v>
      </c>
    </row>
    <row r="45" spans="1:4" x14ac:dyDescent="0.25">
      <c r="A45" s="1">
        <v>40603</v>
      </c>
      <c r="B45" t="s">
        <v>11</v>
      </c>
      <c r="C45">
        <v>104</v>
      </c>
      <c r="D45">
        <v>0.23100000000000001</v>
      </c>
    </row>
    <row r="46" spans="1:4" x14ac:dyDescent="0.25">
      <c r="A46" s="1">
        <v>40603</v>
      </c>
      <c r="B46" t="s">
        <v>12</v>
      </c>
      <c r="C46">
        <v>126</v>
      </c>
      <c r="D46">
        <v>0.27900000000000003</v>
      </c>
    </row>
    <row r="47" spans="1:4" x14ac:dyDescent="0.25">
      <c r="A47" s="1">
        <v>40603</v>
      </c>
      <c r="B47" t="s">
        <v>13</v>
      </c>
      <c r="C47">
        <v>38</v>
      </c>
      <c r="D47">
        <v>8.4000000000000005E-2</v>
      </c>
    </row>
    <row r="48" spans="1:4" x14ac:dyDescent="0.25">
      <c r="A48" s="1">
        <v>40634</v>
      </c>
      <c r="B48" t="s">
        <v>4</v>
      </c>
      <c r="C48">
        <v>300</v>
      </c>
      <c r="D48">
        <v>1</v>
      </c>
    </row>
    <row r="49" spans="1:4" x14ac:dyDescent="0.25">
      <c r="A49" s="1">
        <v>40634</v>
      </c>
      <c r="B49" t="s">
        <v>5</v>
      </c>
      <c r="C49">
        <v>64</v>
      </c>
      <c r="D49">
        <v>0.21299999999999999</v>
      </c>
    </row>
    <row r="50" spans="1:4" x14ac:dyDescent="0.25">
      <c r="A50" s="1">
        <v>40634</v>
      </c>
      <c r="B50" t="s">
        <v>6</v>
      </c>
      <c r="C50">
        <v>61</v>
      </c>
      <c r="D50">
        <v>0.20300000000000001</v>
      </c>
    </row>
    <row r="51" spans="1:4" x14ac:dyDescent="0.25">
      <c r="A51" s="1">
        <v>40634</v>
      </c>
      <c r="B51" t="s">
        <v>7</v>
      </c>
      <c r="C51">
        <v>63</v>
      </c>
      <c r="D51">
        <v>0.21</v>
      </c>
    </row>
    <row r="52" spans="1:4" x14ac:dyDescent="0.25">
      <c r="A52" s="1">
        <v>40634</v>
      </c>
      <c r="B52" t="s">
        <v>8</v>
      </c>
      <c r="C52">
        <v>59</v>
      </c>
      <c r="D52">
        <v>0.19700000000000001</v>
      </c>
    </row>
    <row r="53" spans="1:4" x14ac:dyDescent="0.25">
      <c r="A53" s="1">
        <v>40634</v>
      </c>
      <c r="B53" t="s">
        <v>9</v>
      </c>
      <c r="C53">
        <v>68</v>
      </c>
      <c r="D53">
        <v>0.22700000000000001</v>
      </c>
    </row>
    <row r="54" spans="1:4" x14ac:dyDescent="0.25">
      <c r="A54" s="1">
        <v>40634</v>
      </c>
      <c r="B54" t="s">
        <v>10</v>
      </c>
      <c r="C54">
        <v>65</v>
      </c>
      <c r="D54">
        <v>0.217</v>
      </c>
    </row>
    <row r="55" spans="1:4" x14ac:dyDescent="0.25">
      <c r="A55" s="1">
        <v>40634</v>
      </c>
      <c r="B55" t="s">
        <v>11</v>
      </c>
      <c r="C55">
        <v>78</v>
      </c>
      <c r="D55">
        <v>0.26</v>
      </c>
    </row>
    <row r="56" spans="1:4" x14ac:dyDescent="0.25">
      <c r="A56" s="1">
        <v>40634</v>
      </c>
      <c r="B56" t="s">
        <v>12</v>
      </c>
      <c r="C56">
        <v>22</v>
      </c>
      <c r="D56">
        <v>7.2999999999999995E-2</v>
      </c>
    </row>
    <row r="57" spans="1:4" x14ac:dyDescent="0.25">
      <c r="A57" s="1">
        <v>40664</v>
      </c>
      <c r="B57" t="s">
        <v>4</v>
      </c>
      <c r="C57">
        <v>284</v>
      </c>
      <c r="D57">
        <v>1</v>
      </c>
    </row>
    <row r="58" spans="1:4" x14ac:dyDescent="0.25">
      <c r="A58" s="1">
        <v>40664</v>
      </c>
      <c r="B58" t="s">
        <v>5</v>
      </c>
      <c r="C58">
        <v>54</v>
      </c>
      <c r="D58">
        <v>0.19</v>
      </c>
    </row>
    <row r="59" spans="1:4" x14ac:dyDescent="0.25">
      <c r="A59" s="1">
        <v>40664</v>
      </c>
      <c r="B59" t="s">
        <v>6</v>
      </c>
      <c r="C59">
        <v>49</v>
      </c>
      <c r="D59">
        <v>0.17299999999999999</v>
      </c>
    </row>
    <row r="60" spans="1:4" x14ac:dyDescent="0.25">
      <c r="A60" s="1">
        <v>40664</v>
      </c>
      <c r="B60" t="s">
        <v>7</v>
      </c>
      <c r="C60">
        <v>49</v>
      </c>
      <c r="D60">
        <v>0.17299999999999999</v>
      </c>
    </row>
    <row r="61" spans="1:4" x14ac:dyDescent="0.25">
      <c r="A61" s="1">
        <v>40664</v>
      </c>
      <c r="B61" t="s">
        <v>8</v>
      </c>
      <c r="C61">
        <v>59</v>
      </c>
      <c r="D61">
        <v>0.20799999999999999</v>
      </c>
    </row>
    <row r="62" spans="1:4" x14ac:dyDescent="0.25">
      <c r="A62" s="1">
        <v>40664</v>
      </c>
      <c r="B62" t="s">
        <v>9</v>
      </c>
      <c r="C62">
        <v>66</v>
      </c>
      <c r="D62">
        <v>0.23200000000000001</v>
      </c>
    </row>
    <row r="63" spans="1:4" x14ac:dyDescent="0.25">
      <c r="A63" s="1">
        <v>40664</v>
      </c>
      <c r="B63" t="s">
        <v>10</v>
      </c>
      <c r="C63">
        <v>75</v>
      </c>
      <c r="D63">
        <v>0.26400000000000001</v>
      </c>
    </row>
    <row r="64" spans="1:4" x14ac:dyDescent="0.25">
      <c r="A64" s="1">
        <v>40664</v>
      </c>
      <c r="B64" t="s">
        <v>11</v>
      </c>
      <c r="C64">
        <v>26</v>
      </c>
      <c r="D64">
        <v>9.1999999999999998E-2</v>
      </c>
    </row>
    <row r="65" spans="1:4" x14ac:dyDescent="0.25">
      <c r="A65" s="1">
        <v>40695</v>
      </c>
      <c r="B65" t="s">
        <v>4</v>
      </c>
      <c r="C65">
        <v>242</v>
      </c>
      <c r="D65">
        <v>1</v>
      </c>
    </row>
    <row r="66" spans="1:4" x14ac:dyDescent="0.25">
      <c r="A66" s="1">
        <v>40695</v>
      </c>
      <c r="B66" t="s">
        <v>5</v>
      </c>
      <c r="C66">
        <v>42</v>
      </c>
      <c r="D66">
        <v>0.17399999999999999</v>
      </c>
    </row>
    <row r="67" spans="1:4" x14ac:dyDescent="0.25">
      <c r="A67" s="1">
        <v>40695</v>
      </c>
      <c r="B67" t="s">
        <v>6</v>
      </c>
      <c r="C67">
        <v>38</v>
      </c>
      <c r="D67">
        <v>0.157</v>
      </c>
    </row>
    <row r="68" spans="1:4" x14ac:dyDescent="0.25">
      <c r="A68" s="1">
        <v>40695</v>
      </c>
      <c r="B68" t="s">
        <v>7</v>
      </c>
      <c r="C68">
        <v>64</v>
      </c>
      <c r="D68">
        <v>0.26400000000000001</v>
      </c>
    </row>
    <row r="69" spans="1:4" x14ac:dyDescent="0.25">
      <c r="A69" s="1">
        <v>40695</v>
      </c>
      <c r="B69" t="s">
        <v>8</v>
      </c>
      <c r="C69">
        <v>56</v>
      </c>
      <c r="D69">
        <v>0.23100000000000001</v>
      </c>
    </row>
    <row r="70" spans="1:4" x14ac:dyDescent="0.25">
      <c r="A70" s="1">
        <v>40695</v>
      </c>
      <c r="B70" t="s">
        <v>9</v>
      </c>
      <c r="C70">
        <v>81</v>
      </c>
      <c r="D70">
        <v>0.33500000000000002</v>
      </c>
    </row>
    <row r="71" spans="1:4" x14ac:dyDescent="0.25">
      <c r="A71" s="1">
        <v>40695</v>
      </c>
      <c r="B71" t="s">
        <v>10</v>
      </c>
      <c r="C71">
        <v>23</v>
      </c>
      <c r="D71">
        <v>9.5000000000000001E-2</v>
      </c>
    </row>
    <row r="72" spans="1:4" x14ac:dyDescent="0.25">
      <c r="A72" s="1">
        <v>40725</v>
      </c>
      <c r="B72" t="s">
        <v>4</v>
      </c>
      <c r="C72">
        <v>188</v>
      </c>
      <c r="D72">
        <v>1</v>
      </c>
    </row>
    <row r="73" spans="1:4" x14ac:dyDescent="0.25">
      <c r="A73" s="1">
        <v>40725</v>
      </c>
      <c r="B73" t="s">
        <v>5</v>
      </c>
      <c r="C73">
        <v>34</v>
      </c>
      <c r="D73">
        <v>0.18099999999999999</v>
      </c>
    </row>
    <row r="74" spans="1:4" x14ac:dyDescent="0.25">
      <c r="A74" s="1">
        <v>40725</v>
      </c>
      <c r="B74" t="s">
        <v>6</v>
      </c>
      <c r="C74">
        <v>39</v>
      </c>
      <c r="D74">
        <v>0.20699999999999999</v>
      </c>
    </row>
    <row r="75" spans="1:4" x14ac:dyDescent="0.25">
      <c r="A75" s="1">
        <v>40725</v>
      </c>
      <c r="B75" t="s">
        <v>7</v>
      </c>
      <c r="C75">
        <v>42</v>
      </c>
      <c r="D75">
        <v>0.223</v>
      </c>
    </row>
    <row r="76" spans="1:4" x14ac:dyDescent="0.25">
      <c r="A76" s="1">
        <v>40725</v>
      </c>
      <c r="B76" t="s">
        <v>8</v>
      </c>
      <c r="C76">
        <v>51</v>
      </c>
      <c r="D76">
        <v>0.27100000000000002</v>
      </c>
    </row>
    <row r="77" spans="1:4" x14ac:dyDescent="0.25">
      <c r="A77" s="1">
        <v>40725</v>
      </c>
      <c r="B77" t="s">
        <v>9</v>
      </c>
      <c r="C77">
        <v>21</v>
      </c>
      <c r="D77">
        <v>0.112</v>
      </c>
    </row>
    <row r="78" spans="1:4" x14ac:dyDescent="0.25">
      <c r="A78" s="1">
        <v>40756</v>
      </c>
      <c r="B78" t="s">
        <v>4</v>
      </c>
      <c r="C78">
        <v>169</v>
      </c>
      <c r="D78">
        <v>1</v>
      </c>
    </row>
    <row r="79" spans="1:4" x14ac:dyDescent="0.25">
      <c r="A79" s="1">
        <v>40756</v>
      </c>
      <c r="B79" t="s">
        <v>5</v>
      </c>
      <c r="C79">
        <v>35</v>
      </c>
      <c r="D79">
        <v>0.20699999999999999</v>
      </c>
    </row>
    <row r="80" spans="1:4" x14ac:dyDescent="0.25">
      <c r="A80" s="1">
        <v>40756</v>
      </c>
      <c r="B80" t="s">
        <v>6</v>
      </c>
      <c r="C80">
        <v>42</v>
      </c>
      <c r="D80">
        <v>0.249</v>
      </c>
    </row>
    <row r="81" spans="1:4" x14ac:dyDescent="0.25">
      <c r="A81" s="1">
        <v>40756</v>
      </c>
      <c r="B81" t="s">
        <v>7</v>
      </c>
      <c r="C81">
        <v>41</v>
      </c>
      <c r="D81">
        <v>0.24299999999999999</v>
      </c>
    </row>
    <row r="82" spans="1:4" x14ac:dyDescent="0.25">
      <c r="A82" s="1">
        <v>40756</v>
      </c>
      <c r="B82" t="s">
        <v>8</v>
      </c>
      <c r="C82">
        <v>21</v>
      </c>
      <c r="D82">
        <v>0.124</v>
      </c>
    </row>
    <row r="83" spans="1:4" x14ac:dyDescent="0.25">
      <c r="A83" s="1">
        <v>40787</v>
      </c>
      <c r="B83" t="s">
        <v>4</v>
      </c>
      <c r="C83">
        <v>299</v>
      </c>
      <c r="D83">
        <v>1</v>
      </c>
    </row>
    <row r="84" spans="1:4" x14ac:dyDescent="0.25">
      <c r="A84" s="1">
        <v>40787</v>
      </c>
      <c r="B84" t="s">
        <v>5</v>
      </c>
      <c r="C84">
        <v>70</v>
      </c>
      <c r="D84">
        <v>0.23400000000000001</v>
      </c>
    </row>
    <row r="85" spans="1:4" x14ac:dyDescent="0.25">
      <c r="A85" s="1">
        <v>40787</v>
      </c>
      <c r="B85" t="s">
        <v>6</v>
      </c>
      <c r="C85">
        <v>90</v>
      </c>
      <c r="D85">
        <v>0.30099999999999999</v>
      </c>
    </row>
    <row r="86" spans="1:4" x14ac:dyDescent="0.25">
      <c r="A86" s="1">
        <v>40787</v>
      </c>
      <c r="B86" t="s">
        <v>7</v>
      </c>
      <c r="C86">
        <v>34</v>
      </c>
      <c r="D86">
        <v>0.114</v>
      </c>
    </row>
    <row r="87" spans="1:4" x14ac:dyDescent="0.25">
      <c r="A87" s="1">
        <v>40817</v>
      </c>
      <c r="B87" t="s">
        <v>4</v>
      </c>
      <c r="C87">
        <v>358</v>
      </c>
      <c r="D87">
        <v>1</v>
      </c>
    </row>
    <row r="88" spans="1:4" x14ac:dyDescent="0.25">
      <c r="A88" s="1">
        <v>40817</v>
      </c>
      <c r="B88" t="s">
        <v>5</v>
      </c>
      <c r="C88">
        <v>86</v>
      </c>
      <c r="D88">
        <v>0.24</v>
      </c>
    </row>
    <row r="89" spans="1:4" x14ac:dyDescent="0.25">
      <c r="A89" s="1">
        <v>40817</v>
      </c>
      <c r="B89" t="s">
        <v>6</v>
      </c>
      <c r="C89">
        <v>41</v>
      </c>
      <c r="D89">
        <v>0.115</v>
      </c>
    </row>
    <row r="90" spans="1:4" x14ac:dyDescent="0.25">
      <c r="A90" s="1">
        <v>40848</v>
      </c>
      <c r="B90" t="s">
        <v>4</v>
      </c>
      <c r="C90">
        <v>324</v>
      </c>
      <c r="D90">
        <v>1</v>
      </c>
    </row>
    <row r="91" spans="1:4" x14ac:dyDescent="0.25">
      <c r="A91" s="1">
        <v>40848</v>
      </c>
      <c r="B91" t="s">
        <v>5</v>
      </c>
      <c r="C91">
        <v>36</v>
      </c>
      <c r="D91">
        <v>0.111</v>
      </c>
    </row>
    <row r="92" spans="1:4" x14ac:dyDescent="0.25">
      <c r="A92" s="1">
        <v>40878</v>
      </c>
      <c r="B92" t="s">
        <v>4</v>
      </c>
      <c r="C92">
        <v>41</v>
      </c>
      <c r="D9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5A55B-8A9A-46A2-9A4E-2387A7B63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Retention Rate</vt:lpstr>
      <vt:lpstr>Revenue by Acquisition Cohort</vt:lpstr>
      <vt:lpstr>Monthly Revenue Trend</vt:lpstr>
      <vt:lpstr>rvn per cus by coh</vt:lpstr>
      <vt:lpstr>LTV at Month 3 by Acquisition C</vt:lpstr>
      <vt:lpstr>Avg Retention by Month</vt:lpstr>
      <vt:lpstr>Revenue Contribution</vt:lpstr>
      <vt:lpstr>Order Frequency Distribution</vt:lpstr>
      <vt:lpstr>Revenue by RFM Segment</vt:lpstr>
      <vt:lpstr>Retention Curve</vt:lpstr>
      <vt:lpstr>mont actv cutm trend</vt:lpstr>
      <vt:lpstr>Rvn per act ctmr</vt:lpstr>
      <vt:lpstr>Cohort Size Over Time</vt:lpstr>
      <vt:lpstr>Cohort LTV per Customer</vt:lpstr>
      <vt:lpstr>LTV</vt:lpstr>
      <vt:lpstr>retention_rate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Маланчук Денис</dc:creator>
  <cp:lastModifiedBy>Маланчук Денис</cp:lastModifiedBy>
  <dcterms:created xsi:type="dcterms:W3CDTF">2026-02-23T09:46:30Z</dcterms:created>
  <dcterms:modified xsi:type="dcterms:W3CDTF">2026-03-01T08:46:18Z</dcterms:modified>
</cp:coreProperties>
</file>